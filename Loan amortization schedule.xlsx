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filterPrivacy="1" codeName="ThisWorkbook"/>
  <xr:revisionPtr revIDLastSave="0" documentId="13_ncr:1_{6CF619F2-35B2-4873-B306-163AE986555A}" xr6:coauthVersionLast="47" xr6:coauthVersionMax="47" xr10:uidLastSave="{00000000-0000-0000-0000-000000000000}"/>
  <bookViews>
    <workbookView xWindow="-108" yWindow="-108" windowWidth="23256" windowHeight="14616" xr2:uid="{00000000-000D-0000-FFFF-FFFF00000000}"/>
  </bookViews>
  <sheets>
    <sheet name="Loan schedule" sheetId="3" r:id="rId1"/>
  </sheets>
  <definedNames>
    <definedName name="ActualNumberOfPayments" localSheetId="0">IFERROR(IF('Loan schedule'!LoanIsGood,IF('Loan schedule'!PaymentsPerYear=1,1,MATCH(0.01,'Loan schedule'!End_Bal,-1)+1)),"")</definedName>
    <definedName name="ColumnTitle1" localSheetId="0">PaymentSchedule3[[#Headers],[Payment number]]</definedName>
    <definedName name="End_Bal" localSheetId="0">PaymentSchedule3[Ending
balance]</definedName>
    <definedName name="ExtraPayments" localSheetId="0">'Loan schedule'!$E$11</definedName>
    <definedName name="InterestRate" localSheetId="0">'Loan schedule'!$E$6</definedName>
    <definedName name="LastCol" localSheetId="0">MATCH(REPT("z",255),'Loan schedule'!$13:$13)</definedName>
    <definedName name="LastRow" localSheetId="0">MATCH(9.99E+307,'Loan schedule'!$B:$B)</definedName>
    <definedName name="LenderName" localSheetId="0">'Loan schedule'!$H$11:$I$11</definedName>
    <definedName name="LoanAmount" localSheetId="0">'Loan schedule'!$E$5</definedName>
    <definedName name="LoanIsGood" localSheetId="0">('Loan schedule'!$E$5*'Loan schedule'!$E$6*'Loan schedule'!$E$7*'Loan schedule'!$E$9)&gt;0</definedName>
    <definedName name="LoanPeriod" localSheetId="0">'Loan schedule'!$E$7</definedName>
    <definedName name="LoanStartDate" localSheetId="0">'Loan schedule'!$E$9</definedName>
    <definedName name="PaymentsPerYear" localSheetId="0">'Loan schedule'!$E$8</definedName>
    <definedName name="_xlnm.Print_Titles" localSheetId="0">'Loan schedule'!$13:$13</definedName>
    <definedName name="PrintArea_SET" localSheetId="0">OFFSET('Loan schedule'!#REF!,,,'Loan schedule'!LastRow,'Loan schedule'!LastCol)</definedName>
    <definedName name="RowTitleRegion1..E9" localSheetId="0">'Loan schedule'!$B$5:$D$5</definedName>
    <definedName name="RowTitleRegion2..I7" localSheetId="0">'Loan schedule'!$G$5:$H$5</definedName>
    <definedName name="RowTitleRegion3..E9" localSheetId="0">'Loan schedule'!$B$11</definedName>
    <definedName name="RowTitleRegion4..H9" localSheetId="0">'Loan schedule'!$G$11</definedName>
    <definedName name="ScheduledNumberOfPayments" localSheetId="0">'Loan schedule'!$I$6</definedName>
    <definedName name="ScheduledPayment" localSheetId="0">'Loan schedule'!$I$5</definedName>
    <definedName name="TotalEarlyPayments" localSheetId="0">SUM(PaymentSchedule3[Extra
payment])</definedName>
    <definedName name="TotalInterest" localSheetId="0">SUM(PaymentSchedule3[Interest])</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9" i="3" l="1"/>
  <c r="I6" i="3" l="1"/>
  <c r="B25" i="3" s="1"/>
  <c r="B37" i="3" l="1"/>
  <c r="B86" i="3"/>
  <c r="B85" i="3"/>
  <c r="B100" i="3"/>
  <c r="B36" i="3"/>
  <c r="B43" i="3"/>
  <c r="B50" i="3"/>
  <c r="B57" i="3"/>
  <c r="B64" i="3"/>
  <c r="B71" i="3"/>
  <c r="B78" i="3"/>
  <c r="B44" i="3"/>
  <c r="B42" i="3"/>
  <c r="B56" i="3"/>
  <c r="B63" i="3"/>
  <c r="B70" i="3"/>
  <c r="B79" i="3"/>
  <c r="B99" i="3"/>
  <c r="B35" i="3"/>
  <c r="B49" i="3"/>
  <c r="B93" i="3"/>
  <c r="B84" i="3"/>
  <c r="B91" i="3"/>
  <c r="B98" i="3"/>
  <c r="B34" i="3"/>
  <c r="B41" i="3"/>
  <c r="B48" i="3"/>
  <c r="B55" i="3"/>
  <c r="B62" i="3"/>
  <c r="B51" i="3"/>
  <c r="B77" i="3"/>
  <c r="B69" i="3"/>
  <c r="B76" i="3"/>
  <c r="B83" i="3"/>
  <c r="B90" i="3"/>
  <c r="B97" i="3"/>
  <c r="B33" i="3"/>
  <c r="B40" i="3"/>
  <c r="B47" i="3"/>
  <c r="B54" i="3"/>
  <c r="B72" i="3"/>
  <c r="B68" i="3"/>
  <c r="B75" i="3"/>
  <c r="B82" i="3"/>
  <c r="B89" i="3"/>
  <c r="B96" i="3"/>
  <c r="B32" i="3"/>
  <c r="B39" i="3"/>
  <c r="B46" i="3"/>
  <c r="B65" i="3"/>
  <c r="B61" i="3"/>
  <c r="B60" i="3"/>
  <c r="B74" i="3"/>
  <c r="B81" i="3"/>
  <c r="B88" i="3"/>
  <c r="B95" i="3"/>
  <c r="B31" i="3"/>
  <c r="B38" i="3"/>
  <c r="B58" i="3"/>
  <c r="B92" i="3"/>
  <c r="B53" i="3"/>
  <c r="B67" i="3"/>
  <c r="B45" i="3"/>
  <c r="B52" i="3"/>
  <c r="B59" i="3"/>
  <c r="B66" i="3"/>
  <c r="B73" i="3"/>
  <c r="B80" i="3"/>
  <c r="B87" i="3"/>
  <c r="B94" i="3"/>
  <c r="B30" i="3"/>
  <c r="C25" i="3"/>
  <c r="B27" i="3"/>
  <c r="B29" i="3"/>
  <c r="B28" i="3"/>
  <c r="B26" i="3"/>
  <c r="B24" i="3"/>
  <c r="C24" i="3" s="1"/>
  <c r="B19" i="3"/>
  <c r="C19" i="3" s="1"/>
  <c r="B21" i="3"/>
  <c r="C21" i="3" s="1"/>
  <c r="B14" i="3"/>
  <c r="B15" i="3"/>
  <c r="C15" i="3" s="1"/>
  <c r="B17" i="3"/>
  <c r="I5" i="3"/>
  <c r="B18" i="3"/>
  <c r="B20" i="3"/>
  <c r="B16" i="3"/>
  <c r="B23" i="3"/>
  <c r="B22" i="3"/>
  <c r="D14" i="3" l="1"/>
  <c r="I14" i="3" s="1"/>
  <c r="K14" i="3" s="1"/>
  <c r="C14" i="3"/>
  <c r="G59" i="3"/>
  <c r="E59" i="3"/>
  <c r="D59" i="3"/>
  <c r="C59" i="3"/>
  <c r="K59" i="3"/>
  <c r="I59" i="3"/>
  <c r="F59" i="3"/>
  <c r="J59" i="3"/>
  <c r="H59" i="3"/>
  <c r="E34" i="3"/>
  <c r="C34" i="3"/>
  <c r="C39" i="3"/>
  <c r="K39" i="3"/>
  <c r="H39" i="3"/>
  <c r="G39" i="3"/>
  <c r="F39" i="3"/>
  <c r="E39" i="3"/>
  <c r="D39" i="3"/>
  <c r="I39" i="3"/>
  <c r="J39" i="3"/>
  <c r="I69" i="3"/>
  <c r="F69" i="3"/>
  <c r="E69" i="3"/>
  <c r="D69" i="3"/>
  <c r="C69" i="3"/>
  <c r="K69" i="3"/>
  <c r="G69" i="3"/>
  <c r="H69" i="3"/>
  <c r="J69" i="3"/>
  <c r="E57" i="3"/>
  <c r="D57" i="3"/>
  <c r="C57" i="3"/>
  <c r="J57" i="3"/>
  <c r="I57" i="3"/>
  <c r="H57" i="3"/>
  <c r="G57" i="3"/>
  <c r="F57" i="3"/>
  <c r="K57" i="3"/>
  <c r="E30" i="3"/>
  <c r="C30" i="3"/>
  <c r="I45" i="3"/>
  <c r="F45" i="3"/>
  <c r="E45" i="3"/>
  <c r="D45" i="3"/>
  <c r="C45" i="3"/>
  <c r="K45" i="3"/>
  <c r="H45" i="3"/>
  <c r="J45" i="3"/>
  <c r="G45" i="3"/>
  <c r="D88" i="3"/>
  <c r="C88" i="3"/>
  <c r="I88" i="3"/>
  <c r="H88" i="3"/>
  <c r="G88" i="3"/>
  <c r="F88" i="3"/>
  <c r="J88" i="3"/>
  <c r="E88" i="3"/>
  <c r="K88" i="3"/>
  <c r="C32" i="3"/>
  <c r="E32" i="3"/>
  <c r="C47" i="3"/>
  <c r="K47" i="3"/>
  <c r="H47" i="3"/>
  <c r="G47" i="3"/>
  <c r="F47" i="3"/>
  <c r="E47" i="3"/>
  <c r="D47" i="3"/>
  <c r="J47" i="3"/>
  <c r="I47" i="3"/>
  <c r="I77" i="3"/>
  <c r="F77" i="3"/>
  <c r="E77" i="3"/>
  <c r="D77" i="3"/>
  <c r="C77" i="3"/>
  <c r="K77" i="3"/>
  <c r="J77" i="3"/>
  <c r="G77" i="3"/>
  <c r="H77" i="3"/>
  <c r="G91" i="3"/>
  <c r="D91" i="3"/>
  <c r="C91" i="3"/>
  <c r="I91" i="3"/>
  <c r="J91" i="3"/>
  <c r="H91" i="3"/>
  <c r="K91" i="3"/>
  <c r="E91" i="3"/>
  <c r="F91" i="3"/>
  <c r="C63" i="3"/>
  <c r="K63" i="3"/>
  <c r="H63" i="3"/>
  <c r="G63" i="3"/>
  <c r="F63" i="3"/>
  <c r="E63" i="3"/>
  <c r="I63" i="3"/>
  <c r="J63" i="3"/>
  <c r="D63" i="3"/>
  <c r="F50" i="3"/>
  <c r="E50" i="3"/>
  <c r="D50" i="3"/>
  <c r="C50" i="3"/>
  <c r="K50" i="3"/>
  <c r="J50" i="3"/>
  <c r="I50" i="3"/>
  <c r="H50" i="3"/>
  <c r="G50" i="3"/>
  <c r="H76" i="3"/>
  <c r="E76" i="3"/>
  <c r="D76" i="3"/>
  <c r="C76" i="3"/>
  <c r="J76" i="3"/>
  <c r="F76" i="3"/>
  <c r="K76" i="3"/>
  <c r="G76" i="3"/>
  <c r="I76" i="3"/>
  <c r="J94" i="3"/>
  <c r="G94" i="3"/>
  <c r="F94" i="3"/>
  <c r="E94" i="3"/>
  <c r="D94" i="3"/>
  <c r="C94" i="3"/>
  <c r="K94" i="3"/>
  <c r="H94" i="3"/>
  <c r="I94" i="3"/>
  <c r="G67" i="3"/>
  <c r="E67" i="3"/>
  <c r="D67" i="3"/>
  <c r="C67" i="3"/>
  <c r="K67" i="3"/>
  <c r="I67" i="3"/>
  <c r="H67" i="3"/>
  <c r="F67" i="3"/>
  <c r="J67" i="3"/>
  <c r="E81" i="3"/>
  <c r="D81" i="3"/>
  <c r="C81" i="3"/>
  <c r="J81" i="3"/>
  <c r="I81" i="3"/>
  <c r="H81" i="3"/>
  <c r="G81" i="3"/>
  <c r="F81" i="3"/>
  <c r="K81" i="3"/>
  <c r="D96" i="3"/>
  <c r="C96" i="3"/>
  <c r="I96" i="3"/>
  <c r="H96" i="3"/>
  <c r="G96" i="3"/>
  <c r="F96" i="3"/>
  <c r="K96" i="3"/>
  <c r="E96" i="3"/>
  <c r="J96" i="3"/>
  <c r="D40" i="3"/>
  <c r="C40" i="3"/>
  <c r="I40" i="3"/>
  <c r="H40" i="3"/>
  <c r="G40" i="3"/>
  <c r="F40" i="3"/>
  <c r="J40" i="3"/>
  <c r="E40" i="3"/>
  <c r="K40" i="3"/>
  <c r="G51" i="3"/>
  <c r="E51" i="3"/>
  <c r="D51" i="3"/>
  <c r="C51" i="3"/>
  <c r="K51" i="3"/>
  <c r="I51" i="3"/>
  <c r="H51" i="3"/>
  <c r="J51" i="3"/>
  <c r="F51" i="3"/>
  <c r="H84" i="3"/>
  <c r="E84" i="3"/>
  <c r="D84" i="3"/>
  <c r="C84" i="3"/>
  <c r="J84" i="3"/>
  <c r="K84" i="3"/>
  <c r="I84" i="3"/>
  <c r="F84" i="3"/>
  <c r="G84" i="3"/>
  <c r="D56" i="3"/>
  <c r="C56" i="3"/>
  <c r="I56" i="3"/>
  <c r="H56" i="3"/>
  <c r="G56" i="3"/>
  <c r="F56" i="3"/>
  <c r="J56" i="3"/>
  <c r="K56" i="3"/>
  <c r="E56" i="3"/>
  <c r="G43" i="3"/>
  <c r="E43" i="3"/>
  <c r="D43" i="3"/>
  <c r="C43" i="3"/>
  <c r="K43" i="3"/>
  <c r="I43" i="3"/>
  <c r="H43" i="3"/>
  <c r="J43" i="3"/>
  <c r="F43" i="3"/>
  <c r="J46" i="3"/>
  <c r="G46" i="3"/>
  <c r="F46" i="3"/>
  <c r="E46" i="3"/>
  <c r="D46" i="3"/>
  <c r="C46" i="3"/>
  <c r="H46" i="3"/>
  <c r="I46" i="3"/>
  <c r="K46" i="3"/>
  <c r="J54" i="3"/>
  <c r="G54" i="3"/>
  <c r="F54" i="3"/>
  <c r="E54" i="3"/>
  <c r="D54" i="3"/>
  <c r="I54" i="3"/>
  <c r="K54" i="3"/>
  <c r="C54" i="3"/>
  <c r="H54" i="3"/>
  <c r="F74" i="3"/>
  <c r="E74" i="3"/>
  <c r="D74" i="3"/>
  <c r="C74" i="3"/>
  <c r="J74" i="3"/>
  <c r="I74" i="3"/>
  <c r="H74" i="3"/>
  <c r="G74" i="3"/>
  <c r="K74" i="3"/>
  <c r="J62" i="3"/>
  <c r="G62" i="3"/>
  <c r="F62" i="3"/>
  <c r="E62" i="3"/>
  <c r="D62" i="3"/>
  <c r="H62" i="3"/>
  <c r="I62" i="3"/>
  <c r="C62" i="3"/>
  <c r="K62" i="3"/>
  <c r="I93" i="3"/>
  <c r="F93" i="3"/>
  <c r="E93" i="3"/>
  <c r="D93" i="3"/>
  <c r="C93" i="3"/>
  <c r="G93" i="3"/>
  <c r="K93" i="3"/>
  <c r="J93" i="3"/>
  <c r="H93" i="3"/>
  <c r="E36" i="3"/>
  <c r="C36" i="3"/>
  <c r="D80" i="3"/>
  <c r="C80" i="3"/>
  <c r="I80" i="3"/>
  <c r="H80" i="3"/>
  <c r="G80" i="3"/>
  <c r="F80" i="3"/>
  <c r="E80" i="3"/>
  <c r="K80" i="3"/>
  <c r="J80" i="3"/>
  <c r="H92" i="3"/>
  <c r="E92" i="3"/>
  <c r="D92" i="3"/>
  <c r="C92" i="3"/>
  <c r="J92" i="3"/>
  <c r="G92" i="3"/>
  <c r="K92" i="3"/>
  <c r="F92" i="3"/>
  <c r="I92" i="3"/>
  <c r="H60" i="3"/>
  <c r="E60" i="3"/>
  <c r="D60" i="3"/>
  <c r="C60" i="3"/>
  <c r="J60" i="3"/>
  <c r="I60" i="3"/>
  <c r="F60" i="3"/>
  <c r="G60" i="3"/>
  <c r="K60" i="3"/>
  <c r="F82" i="3"/>
  <c r="E82" i="3"/>
  <c r="D82" i="3"/>
  <c r="C82" i="3"/>
  <c r="J82" i="3"/>
  <c r="I82" i="3"/>
  <c r="H82" i="3"/>
  <c r="K82" i="3"/>
  <c r="G82" i="3"/>
  <c r="E97" i="3"/>
  <c r="D97" i="3"/>
  <c r="C97" i="3"/>
  <c r="J97" i="3"/>
  <c r="I97" i="3"/>
  <c r="H97" i="3"/>
  <c r="G97" i="3"/>
  <c r="F97" i="3"/>
  <c r="K97" i="3"/>
  <c r="C55" i="3"/>
  <c r="K55" i="3"/>
  <c r="H55" i="3"/>
  <c r="G55" i="3"/>
  <c r="F55" i="3"/>
  <c r="E55" i="3"/>
  <c r="I55" i="3"/>
  <c r="J55" i="3"/>
  <c r="D55" i="3"/>
  <c r="E49" i="3"/>
  <c r="D49" i="3"/>
  <c r="C49" i="3"/>
  <c r="J49" i="3"/>
  <c r="I49" i="3"/>
  <c r="H49" i="3"/>
  <c r="G49" i="3"/>
  <c r="K49" i="3"/>
  <c r="F49" i="3"/>
  <c r="H44" i="3"/>
  <c r="E44" i="3"/>
  <c r="D44" i="3"/>
  <c r="C44" i="3"/>
  <c r="J44" i="3"/>
  <c r="I44" i="3"/>
  <c r="F44" i="3"/>
  <c r="K44" i="3"/>
  <c r="G44" i="3"/>
  <c r="H100" i="3"/>
  <c r="E100" i="3"/>
  <c r="D100" i="3"/>
  <c r="C100" i="3"/>
  <c r="J100" i="3"/>
  <c r="K100" i="3"/>
  <c r="F100" i="3"/>
  <c r="I100" i="3"/>
  <c r="G100" i="3"/>
  <c r="D72" i="3"/>
  <c r="C72" i="3"/>
  <c r="I72" i="3"/>
  <c r="H72" i="3"/>
  <c r="G72" i="3"/>
  <c r="F72" i="3"/>
  <c r="J72" i="3"/>
  <c r="E72" i="3"/>
  <c r="K72" i="3"/>
  <c r="D64" i="3"/>
  <c r="C64" i="3"/>
  <c r="I64" i="3"/>
  <c r="H64" i="3"/>
  <c r="G64" i="3"/>
  <c r="F64" i="3"/>
  <c r="J64" i="3"/>
  <c r="K64" i="3"/>
  <c r="E64" i="3"/>
  <c r="E37" i="3"/>
  <c r="C37" i="3"/>
  <c r="H52" i="3"/>
  <c r="E52" i="3"/>
  <c r="D52" i="3"/>
  <c r="C52" i="3"/>
  <c r="J52" i="3"/>
  <c r="G52" i="3"/>
  <c r="K52" i="3"/>
  <c r="I52" i="3"/>
  <c r="F52" i="3"/>
  <c r="F98" i="3"/>
  <c r="D98" i="3"/>
  <c r="C98" i="3"/>
  <c r="J98" i="3"/>
  <c r="H98" i="3"/>
  <c r="I98" i="3"/>
  <c r="G98" i="3"/>
  <c r="E98" i="3"/>
  <c r="K98" i="3"/>
  <c r="I53" i="3"/>
  <c r="F53" i="3"/>
  <c r="E53" i="3"/>
  <c r="D53" i="3"/>
  <c r="C53" i="3"/>
  <c r="K53" i="3"/>
  <c r="G53" i="3"/>
  <c r="H53" i="3"/>
  <c r="J53" i="3"/>
  <c r="E33" i="3"/>
  <c r="C33" i="3"/>
  <c r="E73" i="3"/>
  <c r="D73" i="3"/>
  <c r="C73" i="3"/>
  <c r="J73" i="3"/>
  <c r="I73" i="3"/>
  <c r="H73" i="3"/>
  <c r="G73" i="3"/>
  <c r="K73" i="3"/>
  <c r="F73" i="3"/>
  <c r="F58" i="3"/>
  <c r="E58" i="3"/>
  <c r="D58" i="3"/>
  <c r="C58" i="3"/>
  <c r="K58" i="3"/>
  <c r="J58" i="3"/>
  <c r="I58" i="3"/>
  <c r="H58" i="3"/>
  <c r="G58" i="3"/>
  <c r="I61" i="3"/>
  <c r="F61" i="3"/>
  <c r="E61" i="3"/>
  <c r="D61" i="3"/>
  <c r="C61" i="3"/>
  <c r="K61" i="3"/>
  <c r="J61" i="3"/>
  <c r="H61" i="3"/>
  <c r="G61" i="3"/>
  <c r="G75" i="3"/>
  <c r="E75" i="3"/>
  <c r="D75" i="3"/>
  <c r="C75" i="3"/>
  <c r="I75" i="3"/>
  <c r="J75" i="3"/>
  <c r="F75" i="3"/>
  <c r="K75" i="3"/>
  <c r="H75" i="3"/>
  <c r="F90" i="3"/>
  <c r="D90" i="3"/>
  <c r="C90" i="3"/>
  <c r="J90" i="3"/>
  <c r="H90" i="3"/>
  <c r="K90" i="3"/>
  <c r="G90" i="3"/>
  <c r="E90" i="3"/>
  <c r="I90" i="3"/>
  <c r="D48" i="3"/>
  <c r="C48" i="3"/>
  <c r="I48" i="3"/>
  <c r="H48" i="3"/>
  <c r="G48" i="3"/>
  <c r="F48" i="3"/>
  <c r="K48" i="3"/>
  <c r="E48" i="3"/>
  <c r="J48" i="3"/>
  <c r="E35" i="3"/>
  <c r="C35" i="3"/>
  <c r="J78" i="3"/>
  <c r="G78" i="3"/>
  <c r="F78" i="3"/>
  <c r="E78" i="3"/>
  <c r="D78" i="3"/>
  <c r="I78" i="3"/>
  <c r="K78" i="3"/>
  <c r="C78" i="3"/>
  <c r="H78" i="3"/>
  <c r="I85" i="3"/>
  <c r="F85" i="3"/>
  <c r="E85" i="3"/>
  <c r="D85" i="3"/>
  <c r="C85" i="3"/>
  <c r="H85" i="3"/>
  <c r="K85" i="3"/>
  <c r="G85" i="3"/>
  <c r="J85" i="3"/>
  <c r="C31" i="3"/>
  <c r="E31" i="3"/>
  <c r="C79" i="3"/>
  <c r="H79" i="3"/>
  <c r="G79" i="3"/>
  <c r="F79" i="3"/>
  <c r="E79" i="3"/>
  <c r="I79" i="3"/>
  <c r="J79" i="3"/>
  <c r="K79" i="3"/>
  <c r="D79" i="3"/>
  <c r="C95" i="3"/>
  <c r="H95" i="3"/>
  <c r="G95" i="3"/>
  <c r="F95" i="3"/>
  <c r="E95" i="3"/>
  <c r="I95" i="3"/>
  <c r="D95" i="3"/>
  <c r="J95" i="3"/>
  <c r="K95" i="3"/>
  <c r="J70" i="3"/>
  <c r="G70" i="3"/>
  <c r="F70" i="3"/>
  <c r="E70" i="3"/>
  <c r="D70" i="3"/>
  <c r="K70" i="3"/>
  <c r="H70" i="3"/>
  <c r="C70" i="3"/>
  <c r="I70" i="3"/>
  <c r="C87" i="3"/>
  <c r="H87" i="3"/>
  <c r="G87" i="3"/>
  <c r="F87" i="3"/>
  <c r="E87" i="3"/>
  <c r="D87" i="3"/>
  <c r="K87" i="3"/>
  <c r="I87" i="3"/>
  <c r="J87" i="3"/>
  <c r="E89" i="3"/>
  <c r="D89" i="3"/>
  <c r="C89" i="3"/>
  <c r="J89" i="3"/>
  <c r="I89" i="3"/>
  <c r="H89" i="3"/>
  <c r="G89" i="3"/>
  <c r="K89" i="3"/>
  <c r="F89" i="3"/>
  <c r="F42" i="3"/>
  <c r="E42" i="3"/>
  <c r="D42" i="3"/>
  <c r="C42" i="3"/>
  <c r="K42" i="3"/>
  <c r="J42" i="3"/>
  <c r="I42" i="3"/>
  <c r="H42" i="3"/>
  <c r="G42" i="3"/>
  <c r="F66" i="3"/>
  <c r="E66" i="3"/>
  <c r="D66" i="3"/>
  <c r="C66" i="3"/>
  <c r="K66" i="3"/>
  <c r="J66" i="3"/>
  <c r="I66" i="3"/>
  <c r="H66" i="3"/>
  <c r="G66" i="3"/>
  <c r="J38" i="3"/>
  <c r="G38" i="3"/>
  <c r="F38" i="3"/>
  <c r="E38" i="3"/>
  <c r="D38" i="3"/>
  <c r="C38" i="3"/>
  <c r="I38" i="3"/>
  <c r="K38" i="3"/>
  <c r="H38" i="3"/>
  <c r="E65" i="3"/>
  <c r="D65" i="3"/>
  <c r="C65" i="3"/>
  <c r="J65" i="3"/>
  <c r="I65" i="3"/>
  <c r="H65" i="3"/>
  <c r="G65" i="3"/>
  <c r="K65" i="3"/>
  <c r="F65" i="3"/>
  <c r="H68" i="3"/>
  <c r="E68" i="3"/>
  <c r="D68" i="3"/>
  <c r="C68" i="3"/>
  <c r="J68" i="3"/>
  <c r="K68" i="3"/>
  <c r="G68" i="3"/>
  <c r="I68" i="3"/>
  <c r="F68" i="3"/>
  <c r="G83" i="3"/>
  <c r="E83" i="3"/>
  <c r="D83" i="3"/>
  <c r="C83" i="3"/>
  <c r="I83" i="3"/>
  <c r="F83" i="3"/>
  <c r="H83" i="3"/>
  <c r="K83" i="3"/>
  <c r="J83" i="3"/>
  <c r="E41" i="3"/>
  <c r="D41" i="3"/>
  <c r="C41" i="3"/>
  <c r="J41" i="3"/>
  <c r="I41" i="3"/>
  <c r="H41" i="3"/>
  <c r="G41" i="3"/>
  <c r="K41" i="3"/>
  <c r="F41" i="3"/>
  <c r="G99" i="3"/>
  <c r="D99" i="3"/>
  <c r="C99" i="3"/>
  <c r="I99" i="3"/>
  <c r="F99" i="3"/>
  <c r="J99" i="3"/>
  <c r="K99" i="3"/>
  <c r="H99" i="3"/>
  <c r="E99" i="3"/>
  <c r="C71" i="3"/>
  <c r="H71" i="3"/>
  <c r="G71" i="3"/>
  <c r="F71" i="3"/>
  <c r="E71" i="3"/>
  <c r="K71" i="3"/>
  <c r="J71" i="3"/>
  <c r="D71" i="3"/>
  <c r="I71" i="3"/>
  <c r="J86" i="3"/>
  <c r="G86" i="3"/>
  <c r="F86" i="3"/>
  <c r="E86" i="3"/>
  <c r="D86" i="3"/>
  <c r="C86" i="3"/>
  <c r="H86" i="3"/>
  <c r="K86" i="3"/>
  <c r="I86" i="3"/>
  <c r="E24" i="3"/>
  <c r="E26" i="3"/>
  <c r="C26" i="3"/>
  <c r="C28" i="3"/>
  <c r="E28" i="3"/>
  <c r="E29" i="3"/>
  <c r="C29" i="3"/>
  <c r="C27" i="3"/>
  <c r="E27" i="3"/>
  <c r="E25" i="3"/>
  <c r="E21" i="3"/>
  <c r="E19" i="3"/>
  <c r="E14" i="3"/>
  <c r="E15" i="3"/>
  <c r="E22" i="3"/>
  <c r="C22" i="3"/>
  <c r="E16" i="3"/>
  <c r="C16" i="3"/>
  <c r="E23" i="3"/>
  <c r="C23" i="3"/>
  <c r="E18" i="3"/>
  <c r="C18" i="3"/>
  <c r="C20" i="3"/>
  <c r="E20" i="3"/>
  <c r="E17" i="3"/>
  <c r="C17" i="3"/>
  <c r="F14" i="3" l="1"/>
  <c r="G14" i="3" s="1"/>
  <c r="H14" i="3" s="1"/>
  <c r="J14" i="3" l="1"/>
  <c r="D15" i="3" s="1"/>
  <c r="F15" i="3" s="1"/>
  <c r="G15" i="3" s="1"/>
  <c r="I15" i="3" l="1"/>
  <c r="K15" i="3" s="1"/>
  <c r="H15" i="3" l="1"/>
  <c r="J15" i="3" s="1"/>
  <c r="D16" i="3" s="1"/>
  <c r="I16" i="3" s="1"/>
  <c r="K16" i="3" s="1"/>
  <c r="F16" i="3" l="1"/>
  <c r="G16" i="3" s="1"/>
  <c r="H16" i="3" s="1"/>
  <c r="J16" i="3" s="1"/>
  <c r="D17" i="3" s="1"/>
  <c r="I17" i="3" s="1"/>
  <c r="F17" i="3" l="1"/>
  <c r="G17" i="3" s="1"/>
  <c r="H17" i="3" s="1"/>
  <c r="J17" i="3" s="1"/>
  <c r="D18" i="3" s="1"/>
  <c r="F18" i="3" s="1"/>
  <c r="G18" i="3" s="1"/>
  <c r="K17" i="3"/>
  <c r="I18" i="3" l="1"/>
  <c r="K18" i="3" s="1"/>
  <c r="H18" i="3" l="1"/>
  <c r="J18" i="3" s="1"/>
  <c r="D19" i="3" s="1"/>
  <c r="I19" i="3" s="1"/>
  <c r="K19" i="3" s="1"/>
  <c r="F19" i="3" l="1"/>
  <c r="G19" i="3" s="1"/>
  <c r="H19" i="3" s="1"/>
  <c r="J19" i="3" s="1"/>
  <c r="D20" i="3" s="1"/>
  <c r="I20" i="3" s="1"/>
  <c r="K20" i="3" s="1"/>
  <c r="F20" i="3" l="1"/>
  <c r="G20" i="3" s="1"/>
  <c r="H20" i="3" l="1"/>
  <c r="J20" i="3" s="1"/>
  <c r="D21" i="3" s="1"/>
  <c r="I21" i="3" l="1"/>
  <c r="K21" i="3" s="1"/>
  <c r="F21" i="3"/>
  <c r="G21" i="3" s="1"/>
  <c r="H21" i="3" l="1"/>
  <c r="J21" i="3" s="1"/>
  <c r="D22" i="3" s="1"/>
  <c r="I22" i="3" s="1"/>
  <c r="K22" i="3" s="1"/>
  <c r="F22" i="3" l="1"/>
  <c r="G22" i="3" s="1"/>
  <c r="H22" i="3" s="1"/>
  <c r="J22" i="3" s="1"/>
  <c r="D23" i="3" s="1"/>
  <c r="I23" i="3" s="1"/>
  <c r="K23" i="3" s="1"/>
  <c r="F23" i="3" l="1"/>
  <c r="G23" i="3" s="1"/>
  <c r="H23" i="3" s="1"/>
  <c r="J23" i="3" s="1"/>
  <c r="D24" i="3" l="1"/>
  <c r="I24" i="3" l="1"/>
  <c r="F24" i="3"/>
  <c r="G24" i="3" l="1"/>
  <c r="H24" i="3" s="1"/>
  <c r="J24" i="3" s="1"/>
  <c r="K24" i="3"/>
  <c r="D25" i="3" l="1"/>
  <c r="I25" i="3" l="1"/>
  <c r="F25" i="3"/>
  <c r="G25" i="3" l="1"/>
  <c r="H25" i="3" s="1"/>
  <c r="J25" i="3" s="1"/>
  <c r="K25" i="3"/>
  <c r="D26" i="3" l="1"/>
  <c r="I26" i="3" l="1"/>
  <c r="F26" i="3"/>
  <c r="G26" i="3" l="1"/>
  <c r="H26" i="3" s="1"/>
  <c r="J26" i="3" s="1"/>
  <c r="K26" i="3"/>
  <c r="D27" i="3" l="1"/>
  <c r="I27" i="3" l="1"/>
  <c r="F27" i="3"/>
  <c r="G27" i="3" l="1"/>
  <c r="H27" i="3" s="1"/>
  <c r="J27" i="3" s="1"/>
  <c r="K27" i="3"/>
  <c r="D28" i="3" l="1"/>
  <c r="F28" i="3" l="1"/>
  <c r="I28" i="3"/>
  <c r="K28" i="3" l="1"/>
  <c r="G28" i="3"/>
  <c r="H28" i="3" s="1"/>
  <c r="J28" i="3" s="1"/>
  <c r="D29" i="3" l="1"/>
  <c r="F29" i="3" l="1"/>
  <c r="I29" i="3"/>
  <c r="K29" i="3" l="1"/>
  <c r="G29" i="3"/>
  <c r="H29" i="3" s="1"/>
  <c r="J29" i="3"/>
  <c r="D30" i="3" l="1"/>
  <c r="I30" i="3" l="1"/>
  <c r="F30" i="3"/>
  <c r="K30" i="3" l="1"/>
  <c r="G30" i="3"/>
  <c r="H30" i="3" s="1"/>
  <c r="J30" i="3" s="1"/>
  <c r="D31" i="3" l="1"/>
  <c r="I31" i="3" l="1"/>
  <c r="K31" i="3" s="1"/>
  <c r="F31" i="3"/>
  <c r="G31" i="3" l="1"/>
  <c r="H31" i="3" s="1"/>
  <c r="J31" i="3" s="1"/>
  <c r="D32" i="3" s="1"/>
  <c r="I32" i="3" l="1"/>
  <c r="K32" i="3" s="1"/>
  <c r="F32" i="3"/>
  <c r="G32" i="3" l="1"/>
  <c r="H32" i="3" s="1"/>
  <c r="J32" i="3"/>
  <c r="D33" i="3" s="1"/>
  <c r="I33" i="3" l="1"/>
  <c r="K33" i="3" s="1"/>
  <c r="F33" i="3"/>
  <c r="G33" i="3" l="1"/>
  <c r="H33" i="3" s="1"/>
  <c r="J33" i="3" s="1"/>
  <c r="D34" i="3" s="1"/>
  <c r="I34" i="3" l="1"/>
  <c r="K34" i="3" s="1"/>
  <c r="F34" i="3"/>
  <c r="G34" i="3" l="1"/>
  <c r="H34" i="3" s="1"/>
  <c r="J34" i="3" s="1"/>
  <c r="D35" i="3" s="1"/>
  <c r="I35" i="3" l="1"/>
  <c r="K35" i="3" s="1"/>
  <c r="F35" i="3"/>
  <c r="J35" i="3" l="1"/>
  <c r="D36" i="3" s="1"/>
  <c r="G35" i="3"/>
  <c r="H35" i="3" s="1"/>
  <c r="I36" i="3" l="1"/>
  <c r="K36" i="3" s="1"/>
  <c r="F36" i="3"/>
  <c r="G36" i="3" l="1"/>
  <c r="H36" i="3" s="1"/>
  <c r="J36" i="3"/>
  <c r="D37" i="3" s="1"/>
  <c r="I37" i="3" l="1"/>
  <c r="F37" i="3"/>
  <c r="G37" i="3" l="1"/>
  <c r="H37" i="3" s="1"/>
  <c r="J37" i="3"/>
  <c r="I7" i="3" s="1"/>
  <c r="I8" i="3"/>
  <c r="K37" i="3"/>
  <c r="I9" i="3"/>
</calcChain>
</file>

<file path=xl/sharedStrings.xml><?xml version="1.0" encoding="utf-8"?>
<sst xmlns="http://schemas.openxmlformats.org/spreadsheetml/2006/main" count="27" uniqueCount="26">
  <si>
    <t>Loan amortization schedule</t>
  </si>
  <si>
    <t>Enter values</t>
  </si>
  <si>
    <t>Loan summary</t>
  </si>
  <si>
    <t>Loan amount</t>
  </si>
  <si>
    <t>Scheduled payment</t>
  </si>
  <si>
    <t>Annual interest rate</t>
  </si>
  <si>
    <t>Scheduled number of payments</t>
  </si>
  <si>
    <t>Loan period in years</t>
  </si>
  <si>
    <t>Actual number of payments</t>
  </si>
  <si>
    <t>Number of payments per year</t>
  </si>
  <si>
    <t>Total early payments</t>
  </si>
  <si>
    <t>Start date of loan</t>
  </si>
  <si>
    <t>Total interest</t>
  </si>
  <si>
    <t>Optional extra payments</t>
  </si>
  <si>
    <t>Lender name</t>
  </si>
  <si>
    <t>Woodgrove Bank</t>
  </si>
  <si>
    <t>Payment number</t>
  </si>
  <si>
    <t>Payment
date</t>
  </si>
  <si>
    <t>Beginning
balance</t>
  </si>
  <si>
    <t>Extra
payment</t>
  </si>
  <si>
    <t>Total
payment</t>
  </si>
  <si>
    <t>Principal</t>
  </si>
  <si>
    <t>Interest</t>
  </si>
  <si>
    <t>Ending
balance</t>
  </si>
  <si>
    <t>Cumulative
interest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</si>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</sst>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25" x14ac:knownFonts="1">
    <font>
      <sz val="11"/>
      <name val="Calibri"/>
      <family val="2"/>
      <scheme val="minor"/>
    </font>
    <font>
      <b/>
      <sz val="11"/>
      <color theme="3"/>
      <name val="Calibri"/>
      <family val="2"/>
      <scheme val="minor"/>
    </font>
    <font>
      <sz val="11"/>
      <color theme="1" tint="0.24994659260841701"/>
      <name val="Calibri"/>
      <family val="2"/>
      <scheme val="minor"/>
    </font>
    <font>
      <i/>
      <sz val="11"/>
      <color theme="1" tint="0.34998626667073579"/>
      <name val="Calibri"/>
      <family val="2"/>
      <scheme val="minor"/>
    </font>
    <font>
      <sz val="11"/>
      <name val="Calibri"/>
      <family val="2"/>
      <scheme val="minor"/>
    </font>
    <font>
      <b/>
      <sz val="11"/>
      <color theme="0"/>
      <name val="Calibri"/>
      <family val="2"/>
      <scheme val="minor"/>
    </font>
    <font>
      <b/>
      <sz val="16"/>
      <color theme="1" tint="0.24994659260841701"/>
      <name val="Calibri"/>
      <family val="2"/>
    </font>
    <font>
      <sz val="11"/>
      <name val="Calibri"/>
      <family val="2"/>
    </font>
    <font>
      <sz val="11"/>
      <color theme="1" tint="0.24994659260841701"/>
      <name val="Calibri"/>
      <family val="2"/>
    </font>
    <font>
      <b/>
      <sz val="16"/>
      <color rgb="FF0070C0"/>
      <name val="Calibri"/>
      <family val="2"/>
    </font>
    <font>
      <b/>
      <sz val="14"/>
      <color theme="1" tint="0.24994659260841701"/>
      <name val="Calibri"/>
      <family val="2"/>
    </font>
    <font>
      <b/>
      <sz val="12"/>
      <color theme="3"/>
      <name val="Calibri"/>
      <family val="2"/>
    </font>
    <font>
      <i/>
      <sz val="11"/>
      <color theme="1"/>
      <name val="Calibri"/>
      <family val="2"/>
    </font>
    <font>
      <b/>
      <sz val="40"/>
      <color rgb="FF376B36"/>
      <name val="Calibri"/>
      <family val="2"/>
    </font>
    <font>
      <b/>
      <sz val="20"/>
      <color theme="4" tint="-0.499984740745262"/>
      <name val="Calibri"/>
      <family val="2"/>
    </font>
    <font>
      <b/>
      <sz val="12"/>
      <color theme="1" tint="0.249977111117893"/>
      <name val="Calibri"/>
      <family val="2"/>
    </font>
    <font>
      <sz val="12"/>
      <name val="Calibri"/>
      <family val="2"/>
      <scheme val="minor"/>
    </font>
    <font>
      <b/>
      <sz val="20"/>
      <color theme="4" tint="-0.499984740745262"/>
      <name val="Calibri"/>
      <family val="2"/>
      <scheme val="major"/>
    </font>
    <font>
      <b/>
      <sz val="40"/>
      <color rgb="FF376B36"/>
      <name val="Calibri"/>
      <family val="2"/>
      <scheme val="major"/>
    </font>
    <font>
      <sz val="12"/>
      <color theme="1"/>
      <name val="Calibri"/>
      <family val="2"/>
      <scheme val="minor"/>
    </font>
    <font>
      <sz val="12"/>
      <color theme="1" tint="0.24994659260841701"/>
      <name val="Calibri"/>
      <family val="2"/>
      <scheme val="minor"/>
    </font>
    <font>
      <i/>
      <sz val="11"/>
      <color theme="1"/>
      <name val="Calibri"/>
      <family val="2"/>
      <scheme val="minor"/>
    </font>
    <font>
      <b/>
      <sz val="40"/>
      <color theme="4" tint="-0.499984740745262"/>
      <name val="Calibri"/>
      <family val="2"/>
      <scheme val="major"/>
    </font>
    <font>
      <b/>
      <sz val="14"/>
      <color theme="4" tint="-0.499984740745262"/>
      <name val="Calibri"/>
      <family val="2"/>
      <scheme val="minor"/>
    </font>
    <font>
      <sz val="14"/>
      <name val="Calibri"/>
      <family val="2"/>
      <scheme val="minor"/>
    </font>
  </fonts>
  <fills count="7">
    <fill>
      <patternFill patternType="none"/>
    </fill>
    <fill>
      <patternFill patternType="gray125"/>
    </fill>
    <fill>
      <patternFill patternType="solid">
        <fgColor theme="0" tint="-0.14996795556505021"/>
        <bgColor indexed="64"/>
      </patternFill>
    </fill>
    <fill>
      <patternFill patternType="solid">
        <fgColor theme="4" tint="0.79998168889431442"/>
        <bgColor indexed="65"/>
      </patternFill>
    </fill>
    <fill>
      <patternFill patternType="solid">
        <fgColor theme="4" tint="-0.499984740745262"/>
        <bgColor indexed="64"/>
      </patternFill>
    </fill>
    <fill>
      <patternFill patternType="solid">
        <fgColor theme="0"/>
        <bgColor indexed="64"/>
      </patternFill>
    </fill>
    <fill>
      <patternFill patternType="solid">
        <fgColor rgb="FF0070C0"/>
        <bgColor indexed="64"/>
      </patternFill>
    </fill>
  </fills>
  <borders count="19">
    <border>
      <left/>
      <right/>
      <top/>
      <bottom/>
      <diagonal/>
    </border>
    <border>
      <left/>
      <right/>
      <top/>
      <bottom style="thick">
        <color theme="4" tint="-0.499984740745262"/>
      </bottom>
      <diagonal/>
    </border>
    <border>
      <left/>
      <right/>
      <top/>
      <bottom style="medium">
        <color theme="4" tint="-0.499984740745262"/>
      </bottom>
      <diagonal/>
    </border>
    <border>
      <left/>
      <right/>
      <top style="thin">
        <color theme="4" tint="-0.499984740745262"/>
      </top>
      <bottom style="thin">
        <color theme="4" tint="-0.499984740745262"/>
      </bottom>
      <diagonal/>
    </border>
    <border>
      <left/>
      <right/>
      <top style="thin">
        <color theme="1" tint="0.499984740745262"/>
      </top>
      <bottom style="thin">
        <color theme="1" tint="0.499984740745262"/>
      </bottom>
      <diagonal/>
    </border>
    <border>
      <left/>
      <right/>
      <top style="thin">
        <color theme="2" tint="-9.9978637043366805E-2"/>
      </top>
      <bottom style="thin">
        <color theme="2" tint="-9.9978637043366805E-2"/>
      </bottom>
      <diagonal/>
    </border>
    <border>
      <left/>
      <right/>
      <top style="thin">
        <color rgb="FF376B36"/>
      </top>
      <bottom style="thin">
        <color theme="2" tint="-9.9978637043366805E-2"/>
      </bottom>
      <diagonal/>
    </border>
    <border>
      <left/>
      <right style="thin">
        <color theme="0"/>
      </right>
      <top/>
      <bottom/>
      <diagonal/>
    </border>
    <border>
      <left/>
      <right/>
      <top style="thin">
        <color theme="4" tint="-0.499984740745262"/>
      </top>
      <bottom style="thin">
        <color theme="2" tint="-9.9978637043366805E-2"/>
      </bottom>
      <diagonal/>
    </border>
    <border>
      <left/>
      <right/>
      <top style="thin">
        <color theme="2" tint="-9.9978637043366805E-2"/>
      </top>
      <bottom style="thin">
        <color theme="0" tint="-0.14999847407452621"/>
      </bottom>
      <diagonal/>
    </border>
    <border>
      <left/>
      <right style="thin">
        <color theme="0" tint="-0.14999847407452621"/>
      </right>
      <top style="thin">
        <color rgb="FF376B36"/>
      </top>
      <bottom style="thin">
        <color theme="2" tint="-9.9978637043366805E-2"/>
      </bottom>
      <diagonal/>
    </border>
    <border>
      <left/>
      <right style="thin">
        <color theme="0" tint="-0.14999847407452621"/>
      </right>
      <top style="thin">
        <color theme="2" tint="-9.9978637043366805E-2"/>
      </top>
      <bottom style="thin">
        <color theme="2" tint="-9.9978637043366805E-2"/>
      </bottom>
      <diagonal/>
    </border>
    <border>
      <left/>
      <right style="thin">
        <color theme="0" tint="-0.14999847407452621"/>
      </right>
      <top style="thin">
        <color theme="2" tint="-9.9978637043366805E-2"/>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top/>
      <bottom style="thin">
        <color theme="4" tint="-0.499984740745262"/>
      </bottom>
      <diagonal/>
    </border>
    <border>
      <left style="thin">
        <color theme="0" tint="-0.14999847407452621"/>
      </left>
      <right/>
      <top style="thin">
        <color theme="2" tint="-9.9978637043366805E-2"/>
      </top>
      <bottom style="thin">
        <color theme="0" tint="-0.14999847407452621"/>
      </bottom>
      <diagonal/>
    </border>
    <border>
      <left style="thin">
        <color theme="0" tint="-0.14999847407452621"/>
      </left>
      <right/>
      <top style="thin">
        <color theme="2" tint="-9.9978637043366805E-2"/>
      </top>
      <bottom style="thin">
        <color theme="2" tint="-9.9978637043366805E-2"/>
      </bottom>
      <diagonal/>
    </border>
    <border>
      <left style="thin">
        <color theme="0" tint="-0.14999847407452621"/>
      </left>
      <right/>
      <top style="thin">
        <color theme="4" tint="-0.499984740745262"/>
      </top>
      <bottom style="thin">
        <color theme="2" tint="-9.9978637043366805E-2"/>
      </bottom>
      <diagonal/>
    </border>
  </borders>
  <cellStyleXfs count="16">
    <xf numFmtId="0" fontId="0" fillId="0" borderId="0"/>
    <xf numFmtId="0" fontId="6" fillId="0" borderId="1" applyNumberFormat="0" applyFill="0" applyProtection="0">
      <alignment vertical="center"/>
    </xf>
    <xf numFmtId="0" fontId="10" fillId="0" borderId="2" applyNumberFormat="0" applyFill="0" applyProtection="0">
      <alignment vertical="center"/>
    </xf>
    <xf numFmtId="0" fontId="1" fillId="0" borderId="3" applyNumberFormat="0" applyFill="0" applyProtection="0">
      <alignment vertical="center"/>
    </xf>
    <xf numFmtId="0" fontId="2" fillId="2" borderId="4" applyNumberFormat="0" applyProtection="0">
      <alignment horizontal="right"/>
    </xf>
    <xf numFmtId="0" fontId="3" fillId="0" borderId="4" applyNumberFormat="0" applyProtection="0">
      <alignment vertical="center"/>
    </xf>
    <xf numFmtId="10" fontId="4" fillId="0" borderId="0" applyFont="0" applyFill="0" applyBorder="0" applyAlignment="0" applyProtection="0"/>
    <xf numFmtId="164" fontId="2" fillId="2" borderId="0" applyFont="0" applyFill="0" applyBorder="0" applyAlignment="0" applyProtection="0"/>
    <xf numFmtId="0" fontId="2" fillId="3" borderId="0" applyNumberFormat="0" applyFont="0" applyAlignment="0">
      <alignment horizontal="center" vertical="center" wrapText="1"/>
    </xf>
    <xf numFmtId="0" fontId="5" fillId="4" borderId="0" applyNumberFormat="0" applyBorder="0" applyProtection="0">
      <alignment vertical="center" wrapText="1"/>
    </xf>
    <xf numFmtId="1" fontId="2" fillId="3" borderId="0" applyFont="0" applyFill="0" applyBorder="0" applyAlignment="0"/>
    <xf numFmtId="14" fontId="2" fillId="0" borderId="0" applyFont="0" applyFill="0" applyBorder="0" applyAlignment="0"/>
    <xf numFmtId="164" fontId="2" fillId="2" borderId="0" applyFont="0" applyFill="0" applyBorder="0" applyProtection="0">
      <alignment horizontal="right" indent="2"/>
    </xf>
    <xf numFmtId="0" fontId="9" fillId="6" borderId="0" applyFill="0" applyBorder="0" applyProtection="0">
      <alignment horizontal="left" vertical="center" wrapText="1" indent="1"/>
    </xf>
    <xf numFmtId="0" fontId="11" fillId="0" borderId="5">
      <alignment vertical="center"/>
    </xf>
    <xf numFmtId="0" fontId="15" fillId="5" borderId="0" applyFill="0" applyProtection="0">
      <alignment horizontal="center" vertical="center" wrapText="1"/>
    </xf>
  </cellStyleXfs>
  <cellXfs count="52">
    <xf numFmtId="0" fontId="0" fillId="0" borderId="0" xfId="0"/>
    <xf numFmtId="0" fontId="7" fillId="0" borderId="0" xfId="0" applyFont="1"/>
    <xf numFmtId="0" fontId="10" fillId="0" borderId="0" xfId="2" applyBorder="1">
      <alignment vertical="center"/>
    </xf>
    <xf numFmtId="0" fontId="10" fillId="0" borderId="0" xfId="2" applyFill="1" applyBorder="1">
      <alignment vertical="center"/>
    </xf>
    <xf numFmtId="0" fontId="13" fillId="0" borderId="0" xfId="13" applyFont="1" applyFill="1" applyBorder="1" applyAlignment="1">
      <alignment vertical="center" wrapText="1"/>
    </xf>
    <xf numFmtId="164" fontId="16" fillId="0" borderId="0" xfId="12" applyFont="1" applyFill="1" applyBorder="1" applyAlignment="1">
      <alignment horizontal="right" vertical="center" indent="2"/>
    </xf>
    <xf numFmtId="0" fontId="12" fillId="0" borderId="0" xfId="5" applyFont="1" applyBorder="1">
      <alignment vertical="center"/>
    </xf>
    <xf numFmtId="14" fontId="8" fillId="0" borderId="0" xfId="11" applyFont="1" applyFill="1" applyBorder="1" applyAlignment="1">
      <alignment horizontal="right" indent="1"/>
    </xf>
    <xf numFmtId="14" fontId="16" fillId="0" borderId="0" xfId="11" applyFont="1" applyFill="1" applyBorder="1" applyAlignment="1">
      <alignment horizontal="center" vertical="center"/>
    </xf>
    <xf numFmtId="0" fontId="16" fillId="0" borderId="0" xfId="0" applyFont="1"/>
    <xf numFmtId="0" fontId="14" fillId="0" borderId="15" xfId="2" applyFont="1" applyBorder="1" applyAlignment="1">
      <alignment horizontal="left" vertical="center" indent="1"/>
    </xf>
    <xf numFmtId="0" fontId="10" fillId="0" borderId="15" xfId="2" applyBorder="1" applyAlignment="1">
      <alignment horizontal="left" vertical="center" indent="1"/>
    </xf>
    <xf numFmtId="0" fontId="17" fillId="0" borderId="15" xfId="2" applyFont="1" applyBorder="1" applyAlignment="1">
      <alignment horizontal="left" vertical="center" indent="1"/>
    </xf>
    <xf numFmtId="164" fontId="20" fillId="0" borderId="6" xfId="7" applyFont="1" applyFill="1" applyBorder="1" applyAlignment="1">
      <alignment horizontal="right" vertical="center" indent="1"/>
    </xf>
    <xf numFmtId="10" fontId="20" fillId="0" borderId="5" xfId="6" applyFont="1" applyFill="1" applyBorder="1" applyAlignment="1">
      <alignment horizontal="right" vertical="center" indent="1"/>
    </xf>
    <xf numFmtId="1" fontId="20" fillId="0" borderId="5" xfId="10" applyFont="1" applyFill="1" applyBorder="1" applyAlignment="1">
      <alignment horizontal="right" vertical="center" indent="1"/>
    </xf>
    <xf numFmtId="0" fontId="19" fillId="0" borderId="14" xfId="5" applyFont="1" applyBorder="1">
      <alignment vertical="center"/>
    </xf>
    <xf numFmtId="14" fontId="20" fillId="0" borderId="9" xfId="11" applyFont="1" applyFill="1" applyBorder="1" applyAlignment="1">
      <alignment horizontal="right" vertical="center" indent="1"/>
    </xf>
    <xf numFmtId="0" fontId="21" fillId="0" borderId="0" xfId="5" applyFont="1" applyBorder="1">
      <alignment vertical="center"/>
    </xf>
    <xf numFmtId="164" fontId="19" fillId="0" borderId="0" xfId="7" applyFont="1" applyFill="1" applyBorder="1" applyAlignment="1">
      <alignment horizontal="right" vertical="center" indent="1"/>
    </xf>
    <xf numFmtId="0" fontId="0" fillId="0" borderId="7" xfId="0" applyBorder="1"/>
    <xf numFmtId="1" fontId="16" fillId="0" borderId="0" xfId="10" applyFont="1" applyFill="1" applyBorder="1" applyAlignment="1">
      <alignment horizontal="center" vertical="center"/>
    </xf>
    <xf numFmtId="0" fontId="19" fillId="5" borderId="6" xfId="5" applyFont="1" applyFill="1" applyBorder="1" applyAlignment="1">
      <alignment horizontal="left" vertical="center" indent="1"/>
    </xf>
    <xf numFmtId="0" fontId="19" fillId="0" borderId="5" xfId="5" applyFont="1" applyBorder="1" applyAlignment="1">
      <alignment horizontal="left" vertical="center" indent="1"/>
    </xf>
    <xf numFmtId="0" fontId="19" fillId="0" borderId="13" xfId="5" applyFont="1" applyBorder="1" applyAlignment="1">
      <alignment horizontal="left" vertical="center" indent="1"/>
    </xf>
    <xf numFmtId="0" fontId="19" fillId="0" borderId="9" xfId="5" applyFont="1" applyBorder="1" applyAlignment="1">
      <alignment horizontal="left" vertical="center" indent="1"/>
    </xf>
    <xf numFmtId="0" fontId="18" fillId="0" borderId="0" xfId="13" applyFont="1" applyFill="1" applyBorder="1" applyAlignment="1">
      <alignment vertical="center"/>
    </xf>
    <xf numFmtId="0" fontId="19" fillId="0" borderId="13" xfId="5" applyFont="1" applyBorder="1">
      <alignment vertical="center"/>
    </xf>
    <xf numFmtId="0" fontId="19" fillId="5" borderId="10" xfId="5" applyFont="1" applyFill="1" applyBorder="1">
      <alignment vertical="center"/>
    </xf>
    <xf numFmtId="0" fontId="19" fillId="0" borderId="11" xfId="5" applyFont="1" applyBorder="1">
      <alignment vertical="center"/>
    </xf>
    <xf numFmtId="0" fontId="19" fillId="0" borderId="12" xfId="5" applyFont="1" applyBorder="1">
      <alignment vertical="center"/>
    </xf>
    <xf numFmtId="1" fontId="16" fillId="0" borderId="0" xfId="10" applyFont="1" applyFill="1" applyAlignment="1">
      <alignment horizontal="center" vertical="center"/>
    </xf>
    <xf numFmtId="14" fontId="16" fillId="0" borderId="0" xfId="11" applyFont="1" applyFill="1" applyAlignment="1">
      <alignment horizontal="center" vertical="center"/>
    </xf>
    <xf numFmtId="164" fontId="16" fillId="0" borderId="0" xfId="12" applyFont="1" applyFill="1" applyAlignment="1">
      <alignment horizontal="right" vertical="center" indent="2"/>
    </xf>
    <xf numFmtId="0" fontId="16" fillId="0" borderId="0" xfId="0" applyFont="1" applyAlignment="1">
      <alignment horizontal="center" vertical="center"/>
    </xf>
    <xf numFmtId="0" fontId="16" fillId="0" borderId="0" xfId="0" applyFont="1" applyAlignment="1">
      <alignment horizontal="right" vertical="center" indent="2"/>
    </xf>
    <xf numFmtId="0" fontId="22" fillId="0" borderId="0" xfId="13" applyFont="1" applyFill="1" applyBorder="1" applyAlignment="1">
      <alignment vertical="center"/>
    </xf>
    <xf numFmtId="0" fontId="17" fillId="0" borderId="0" xfId="2" applyFont="1" applyFill="1" applyBorder="1" applyAlignment="1">
      <alignment horizontal="left" vertical="center" indent="1"/>
    </xf>
    <xf numFmtId="0" fontId="24" fillId="0" borderId="0" xfId="0" applyFont="1" applyAlignment="1">
      <alignment horizontal="center" vertical="center" wrapText="1"/>
    </xf>
    <xf numFmtId="0" fontId="0" fillId="0" borderId="0" xfId="0" applyAlignment="1">
      <alignment vertical="center"/>
    </xf>
    <xf numFmtId="164" fontId="20" fillId="0" borderId="18" xfId="8" applyNumberFormat="1" applyFont="1" applyFill="1" applyBorder="1" applyAlignment="1">
      <alignment horizontal="right" vertical="center" indent="1"/>
    </xf>
    <xf numFmtId="164" fontId="20" fillId="0" borderId="8" xfId="8" applyNumberFormat="1" applyFont="1" applyFill="1" applyBorder="1" applyAlignment="1">
      <alignment horizontal="right" vertical="center" indent="1"/>
    </xf>
    <xf numFmtId="1" fontId="20" fillId="0" borderId="17" xfId="10" applyFont="1" applyFill="1" applyBorder="1" applyAlignment="1">
      <alignment horizontal="right" vertical="center" indent="1"/>
    </xf>
    <xf numFmtId="1" fontId="20" fillId="0" borderId="5" xfId="10" applyFont="1" applyFill="1" applyBorder="1" applyAlignment="1">
      <alignment horizontal="right" vertical="center" indent="1"/>
    </xf>
    <xf numFmtId="164" fontId="20" fillId="0" borderId="17" xfId="8" applyNumberFormat="1" applyFont="1" applyFill="1" applyBorder="1" applyAlignment="1">
      <alignment horizontal="right" vertical="center" indent="1"/>
    </xf>
    <xf numFmtId="164" fontId="20" fillId="0" borderId="5" xfId="8" applyNumberFormat="1" applyFont="1" applyFill="1" applyBorder="1" applyAlignment="1">
      <alignment horizontal="right" vertical="center" indent="1"/>
    </xf>
    <xf numFmtId="0" fontId="23" fillId="0" borderId="0" xfId="5" applyFont="1" applyBorder="1" applyAlignment="1">
      <alignment horizontal="left" vertical="center" indent="1"/>
    </xf>
    <xf numFmtId="164" fontId="20" fillId="0" borderId="16" xfId="8" applyNumberFormat="1" applyFont="1" applyFill="1" applyBorder="1" applyAlignment="1">
      <alignment horizontal="right" vertical="center" indent="1"/>
    </xf>
    <xf numFmtId="164" fontId="20" fillId="0" borderId="9" xfId="8" applyNumberFormat="1" applyFont="1" applyFill="1" applyBorder="1" applyAlignment="1">
      <alignment horizontal="right" vertical="center" indent="1"/>
    </xf>
    <xf numFmtId="164" fontId="2" fillId="0" borderId="0" xfId="8" applyNumberFormat="1" applyFont="1" applyFill="1" applyAlignment="1">
      <alignment horizontal="right" indent="1"/>
    </xf>
    <xf numFmtId="0" fontId="23" fillId="0" borderId="0" xfId="3" applyFont="1" applyFill="1" applyBorder="1" applyAlignment="1">
      <alignment horizontal="left" vertical="top" indent="1"/>
    </xf>
    <xf numFmtId="0" fontId="19" fillId="0" borderId="0" xfId="3" applyFont="1" applyFill="1" applyBorder="1" applyAlignment="1">
      <alignment horizontal="right" vertical="center" indent="1"/>
    </xf>
  </cellXfs>
  <cellStyles count="16">
    <cellStyle name="Amount" xfId="7" xr:uid="{00000000-0005-0000-0000-000000000000}"/>
    <cellStyle name="Date" xfId="11" xr:uid="{00000000-0005-0000-0000-000001000000}"/>
    <cellStyle name="Explanatory Text" xfId="5" builtinId="53" customBuiltin="1"/>
    <cellStyle name="Heading 1" xfId="1" builtinId="16" customBuiltin="1"/>
    <cellStyle name="Heading 2" xfId="2" builtinId="17" customBuiltin="1"/>
    <cellStyle name="Heading 3" xfId="3" builtinId="18" customBuiltin="1"/>
    <cellStyle name="Heading 4" xfId="9" builtinId="19" customBuiltin="1"/>
    <cellStyle name="Heading 4 Right aligned" xfId="13" xr:uid="{00000000-0005-0000-0000-000007000000}"/>
    <cellStyle name="Input" xfId="4" builtinId="20" customBuiltin="1"/>
    <cellStyle name="Loan Summary" xfId="8" xr:uid="{00000000-0005-0000-0000-000009000000}"/>
    <cellStyle name="Normal" xfId="0" builtinId="0" customBuiltin="1"/>
    <cellStyle name="Number" xfId="10" xr:uid="{00000000-0005-0000-0000-00000B000000}"/>
    <cellStyle name="Percent" xfId="6" builtinId="5" customBuiltin="1"/>
    <cellStyle name="Style 6" xfId="15" xr:uid="{B951F589-AD34-4A5A-AD93-BD9EF15BF323}"/>
    <cellStyle name="SubHead_4" xfId="14" xr:uid="{C3E1C124-5275-4C88-AFC2-C1F30B3DD92B}"/>
    <cellStyle name="Table Amount" xfId="12" xr:uid="{00000000-0005-0000-0000-00000D000000}"/>
  </cellStyles>
  <dxfs count="17">
    <dxf>
      <font>
        <color theme="0"/>
      </font>
      <fill>
        <patternFill>
          <bgColor theme="0"/>
        </patternFill>
      </fill>
      <border>
        <left/>
        <right/>
        <top/>
        <bottom/>
        <vertical/>
        <horizontal/>
      </border>
    </dxf>
    <dxf>
      <font>
        <strike val="0"/>
        <outline val="0"/>
        <shadow val="0"/>
        <u val="none"/>
        <vertAlign val="baseline"/>
        <name val="Calibri"/>
        <family val="2"/>
        <scheme val="minor"/>
      </font>
      <fill>
        <patternFill patternType="none">
          <fgColor indexed="64"/>
          <bgColor auto="1"/>
        </patternFill>
      </fill>
      <alignment horizontal="right" vertical="center" textRotation="0" wrapText="0" indent="2" justifyLastLine="0" shrinkToFit="0" readingOrder="0"/>
    </dxf>
    <dxf>
      <font>
        <strike val="0"/>
        <outline val="0"/>
        <shadow val="0"/>
        <u val="none"/>
        <vertAlign val="baseline"/>
        <name val="Calibri"/>
        <family val="2"/>
        <scheme val="minor"/>
      </font>
      <fill>
        <patternFill patternType="none">
          <fgColor indexed="64"/>
          <bgColor auto="1"/>
        </patternFill>
      </fill>
      <alignment horizontal="right" vertical="center" textRotation="0" wrapText="0" indent="2" justifyLastLine="0" shrinkToFit="0" readingOrder="0"/>
    </dxf>
    <dxf>
      <font>
        <strike val="0"/>
        <outline val="0"/>
        <shadow val="0"/>
        <u val="none"/>
        <vertAlign val="baseline"/>
        <name val="Calibri"/>
        <family val="2"/>
        <scheme val="minor"/>
      </font>
      <fill>
        <patternFill patternType="none">
          <fgColor indexed="64"/>
          <bgColor auto="1"/>
        </patternFill>
      </fill>
      <alignment horizontal="right" vertical="center" textRotation="0" wrapText="0" indent="2" justifyLastLine="0" shrinkToFit="0" readingOrder="0"/>
    </dxf>
    <dxf>
      <font>
        <strike val="0"/>
        <outline val="0"/>
        <shadow val="0"/>
        <u val="none"/>
        <vertAlign val="baseline"/>
        <name val="Calibri"/>
        <family val="2"/>
        <scheme val="minor"/>
      </font>
      <fill>
        <patternFill patternType="none">
          <fgColor indexed="64"/>
          <bgColor auto="1"/>
        </patternFill>
      </fill>
      <alignment horizontal="right" vertical="center" textRotation="0" wrapText="0" indent="2" justifyLastLine="0" shrinkToFit="0" readingOrder="0"/>
    </dxf>
    <dxf>
      <font>
        <strike val="0"/>
        <outline val="0"/>
        <shadow val="0"/>
        <u val="none"/>
        <vertAlign val="baseline"/>
        <name val="Calibri"/>
        <family val="2"/>
        <scheme val="minor"/>
      </font>
      <fill>
        <patternFill patternType="none">
          <fgColor indexed="64"/>
          <bgColor auto="1"/>
        </patternFill>
      </fill>
      <alignment horizontal="right" vertical="center" textRotation="0" wrapText="0" indent="2" justifyLastLine="0" shrinkToFit="0" readingOrder="0"/>
    </dxf>
    <dxf>
      <font>
        <strike val="0"/>
        <outline val="0"/>
        <shadow val="0"/>
        <u val="none"/>
        <vertAlign val="baseline"/>
        <name val="Calibri"/>
        <family val="2"/>
        <scheme val="minor"/>
      </font>
      <fill>
        <patternFill patternType="none">
          <fgColor indexed="64"/>
          <bgColor auto="1"/>
        </patternFill>
      </fill>
      <alignment horizontal="right" vertical="center" textRotation="0" wrapText="0" indent="2" justifyLastLine="0" shrinkToFit="0" readingOrder="0"/>
    </dxf>
    <dxf>
      <font>
        <strike val="0"/>
        <outline val="0"/>
        <shadow val="0"/>
        <u val="none"/>
        <vertAlign val="baseline"/>
        <name val="Calibri"/>
        <family val="2"/>
        <scheme val="minor"/>
      </font>
      <fill>
        <patternFill patternType="none">
          <fgColor indexed="64"/>
          <bgColor auto="1"/>
        </patternFill>
      </fill>
      <alignment horizontal="right" vertical="center" textRotation="0" wrapText="0" indent="2" justifyLastLine="0" shrinkToFit="0" readingOrder="0"/>
    </dxf>
    <dxf>
      <font>
        <strike val="0"/>
        <outline val="0"/>
        <shadow val="0"/>
        <u val="none"/>
        <vertAlign val="baseline"/>
        <name val="Calibri"/>
        <family val="2"/>
        <scheme val="minor"/>
      </font>
      <fill>
        <patternFill patternType="none">
          <fgColor indexed="64"/>
          <bgColor auto="1"/>
        </patternFill>
      </fill>
      <alignment horizontal="right" vertical="center" textRotation="0" wrapText="0" indent="2" justifyLastLine="0" shrinkToFit="0" readingOrder="0"/>
    </dxf>
    <dxf>
      <font>
        <strike val="0"/>
        <outline val="0"/>
        <shadow val="0"/>
        <u val="none"/>
        <vertAlign val="baseline"/>
        <name val="Calibri"/>
        <family val="2"/>
        <scheme val="minor"/>
      </font>
      <fill>
        <patternFill patternType="none">
          <fgColor indexed="64"/>
          <bgColor auto="1"/>
        </patternFill>
      </fill>
    </dxf>
    <dxf>
      <font>
        <strike val="0"/>
        <outline val="0"/>
        <shadow val="0"/>
        <u val="none"/>
        <vertAlign val="baseline"/>
        <name val="Calibri"/>
        <family val="2"/>
        <scheme val="minor"/>
      </font>
      <fill>
        <patternFill patternType="none">
          <fgColor indexed="64"/>
          <bgColor auto="1"/>
        </patternFill>
      </fill>
    </dxf>
    <dxf>
      <font>
        <strike val="0"/>
        <outline val="0"/>
        <shadow val="0"/>
        <u val="none"/>
        <vertAlign val="baseline"/>
        <name val="Calibri"/>
        <family val="2"/>
        <scheme val="minor"/>
      </font>
      <fill>
        <patternFill patternType="none">
          <fgColor indexed="64"/>
          <bgColor auto="1"/>
        </patternFill>
      </fill>
    </dxf>
    <dxf>
      <border outline="0">
        <bottom style="thin">
          <color theme="4" tint="-0.499984740745262"/>
        </bottom>
      </border>
    </dxf>
    <dxf>
      <font>
        <strike val="0"/>
        <outline val="0"/>
        <shadow val="0"/>
        <u val="none"/>
        <vertAlign val="baseline"/>
        <sz val="14"/>
        <color auto="1"/>
        <name val="Calibri"/>
        <family val="2"/>
        <scheme val="minor"/>
      </font>
      <alignment horizontal="center" vertical="center" textRotation="0" wrapText="1" indent="0" justifyLastLine="0" shrinkToFit="0" readingOrder="0"/>
    </dxf>
    <dxf>
      <font>
        <color theme="1" tint="0.24994659260841701"/>
      </font>
      <border>
        <top style="double">
          <color theme="4"/>
        </top>
      </border>
    </dxf>
    <dxf>
      <font>
        <b/>
        <i val="0"/>
        <color theme="1" tint="0.34998626667073579"/>
      </font>
      <fill>
        <patternFill patternType="none">
          <fgColor indexed="64"/>
          <bgColor auto="1"/>
        </patternFill>
      </fill>
      <border>
        <left/>
        <right/>
        <top/>
        <bottom style="thin">
          <color auto="1"/>
        </bottom>
        <vertical style="thin">
          <color theme="2" tint="-9.9948118533890809E-2"/>
        </vertical>
        <horizontal style="thin">
          <color theme="2" tint="-9.9948118533890809E-2"/>
        </horizontal>
      </border>
    </dxf>
    <dxf>
      <font>
        <color theme="1" tint="0.24994659260841701"/>
      </font>
      <border>
        <left/>
        <right/>
        <top style="thin">
          <color theme="2" tint="-9.9948118533890809E-2"/>
        </top>
        <bottom style="thin">
          <color theme="2" tint="-9.9948118533890809E-2"/>
        </bottom>
        <vertical style="thin">
          <color theme="2" tint="-9.9948118533890809E-2"/>
        </vertical>
        <horizontal style="thin">
          <color theme="2" tint="-9.9948118533890809E-2"/>
        </horizontal>
      </border>
    </dxf>
  </dxfs>
  <tableStyles count="1" defaultTableStyle="TableStyleMedium2" defaultPivotStyle="PivotStyleLight16">
    <tableStyle name="Loan Amortization Schedule" pivot="0" count="3" xr9:uid="{00000000-0011-0000-FFFF-FFFF00000000}">
      <tableStyleElement type="wholeTable" dxfId="16"/>
      <tableStyleElement type="headerRow" dxfId="15"/>
      <tableStyleElement type="totalRow" dxfId="1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000066"/>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FFE1E2"/>
      <rgbColor rgb="00FDF1DF"/>
      <rgbColor rgb="00FFCC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376B36"/>
      <color rgb="FFE0F0E0"/>
      <color rgb="FF0070C0"/>
      <color rgb="FFE7F5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svg"/><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887730</xdr:colOff>
      <xdr:row>2</xdr:row>
      <xdr:rowOff>50800</xdr:rowOff>
    </xdr:to>
    <xdr:pic>
      <xdr:nvPicPr>
        <xdr:cNvPr id="8" name="Graphic 7" descr="bank building icon">
          <a:extLst>
            <a:ext uri="{FF2B5EF4-FFF2-40B4-BE49-F238E27FC236}">
              <a16:creationId xmlns:a16="http://schemas.microsoft.com/office/drawing/2014/main" id="{247DDAC1-A042-8344-8CF8-7E87E916FB4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66700" y="266700"/>
          <a:ext cx="914400" cy="914400"/>
        </a:xfrm>
        <a:prstGeom prst="rect">
          <a:avLst/>
        </a:prstGeom>
      </xdr:spPr>
    </xdr:pic>
    <xdr:clientData/>
  </xdr:twoCellAnchor>
  <xdr:twoCellAnchor editAs="oneCell">
    <xdr:from>
      <xdr:col>1</xdr:col>
      <xdr:colOff>0</xdr:colOff>
      <xdr:row>1</xdr:row>
      <xdr:rowOff>0</xdr:rowOff>
    </xdr:from>
    <xdr:to>
      <xdr:col>1</xdr:col>
      <xdr:colOff>887730</xdr:colOff>
      <xdr:row>2</xdr:row>
      <xdr:rowOff>50800</xdr:rowOff>
    </xdr:to>
    <xdr:pic>
      <xdr:nvPicPr>
        <xdr:cNvPr id="3" name="Graphic 2" descr="Bank building icon">
          <a:extLst>
            <a:ext uri="{FF2B5EF4-FFF2-40B4-BE49-F238E27FC236}">
              <a16:creationId xmlns:a16="http://schemas.microsoft.com/office/drawing/2014/main" id="{91C14DF2-CCBD-413B-9562-DB08B7F393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3"/>
            </a:ext>
          </a:extLst>
        </a:blip>
        <a:stretch>
          <a:fillRect/>
        </a:stretch>
      </xdr:blipFill>
      <xdr:spPr>
        <a:xfrm>
          <a:off x="243840" y="266700"/>
          <a:ext cx="887730" cy="91186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CA382EF-BEF8-4FAC-BDE6-14E294B4CB3B}" name="PaymentSchedule3" displayName="PaymentSchedule3" ref="B13:K100" totalsRowShown="0" headerRowDxfId="13" dataDxfId="11" headerRowBorderDxfId="12">
  <tableColumns count="10">
    <tableColumn id="1" xr3:uid="{34276CB7-3C34-4F7B-BA90-A3E3BDDC992A}" name="Payment number" dataDxfId="10" dataCellStyle="Number">
      <calculatedColumnFormula>IF(LoanIsGood,IF(ROW()-ROW(PaymentSchedule3[[#Headers],[Payment number]])&gt;ScheduledNumberOfPayments,"",ROW()-ROW(PaymentSchedule3[[#Headers],[Payment number]])),"")</calculatedColumnFormula>
    </tableColumn>
    <tableColumn id="2" xr3:uid="{1403A054-F61D-429F-B1BB-4476EC6315CE}" name="Payment_x000a_date" dataDxfId="9" dataCellStyle="Date">
      <calculatedColumnFormula>IF(PaymentSchedule3[[#This Row],[Payment number]]&lt;&gt;"",EOMONTH(LoanStartDate,ROW(PaymentSchedule3[[#This Row],[Payment number]])-ROW(PaymentSchedule3[[#Headers],[Payment number]])-2)+DAY(LoanStartDate),"")</calculatedColumnFormula>
    </tableColumn>
    <tableColumn id="3" xr3:uid="{E67FFDE2-0DC2-4D6E-AF3F-C5A588B48155}" name="Beginning_x000a_balance" dataDxfId="8" dataCellStyle="Table Amount">
      <calculatedColumnFormula>IF(PaymentSchedule3[[#This Row],[Payment number]]&lt;&gt;"",IF(ROW()-ROW(PaymentSchedule3[[#Headers],[Beginning
balance]])=1,LoanAmount,INDEX(PaymentSchedule3[Ending
balance],ROW()-ROW(PaymentSchedule3[[#Headers],[Beginning
balance]])-1)),"")</calculatedColumnFormula>
    </tableColumn>
    <tableColumn id="4" xr3:uid="{7F890269-E34F-4DDB-A395-4C6596B64B17}" name="Scheduled payment" dataDxfId="7" dataCellStyle="Table Amount">
      <calculatedColumnFormula>IF(PaymentSchedule3[[#This Row],[Payment number]]&lt;&gt;"",ScheduledPayment,"")</calculatedColumnFormula>
    </tableColumn>
    <tableColumn id="5" xr3:uid="{931027E7-8C19-4466-9D4A-F9288DA86D21}" name="Extra_x000a_payment" dataDxfId="6" dataCellStyle="Table Amount">
      <calculatedColumnFormula>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calculatedColumnFormula>
    </tableColumn>
    <tableColumn id="6" xr3:uid="{CC5B15AD-AB99-402B-813B-ED379DF9B554}" name="Total_x000a_payment" dataDxfId="5" dataCellStyle="Table Amount">
      <calculatedColumnFormula>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calculatedColumnFormula>
    </tableColumn>
    <tableColumn id="7" xr3:uid="{56A64BC0-073E-48F7-BD63-28B35D636790}" name="Principal" dataDxfId="4" dataCellStyle="Table Amount">
      <calculatedColumnFormula>IF(PaymentSchedule3[[#This Row],[Payment number]]&lt;&gt;"",PaymentSchedule3[[#This Row],[Total
payment]]-PaymentSchedule3[[#This Row],[Interest]],"")</calculatedColumnFormula>
    </tableColumn>
    <tableColumn id="8" xr3:uid="{4A9CA4D4-2346-4A75-8123-A968977AF4B8}" name="Interest" dataDxfId="3" dataCellStyle="Table Amount">
      <calculatedColumnFormula>IF(PaymentSchedule3[[#This Row],[Payment number]]&lt;&gt;"",PaymentSchedule3[[#This Row],[Beginning
balance]]*(InterestRate/PaymentsPerYear),"")</calculatedColumnFormula>
    </tableColumn>
    <tableColumn id="9" xr3:uid="{C39E71DF-B719-4486-AA13-11B7D11F817D}" name="Ending_x000a_balance" dataDxfId="2" dataCellStyle="Table Amount">
      <calculatedColumnFormula>IF(PaymentSchedule3[[#This Row],[Payment number]]&lt;&gt;"",IF(PaymentSchedule3[[#This Row],[Scheduled payment]]+PaymentSchedule3[[#This Row],[Extra
payment]]&lt;=PaymentSchedule3[[#This Row],[Beginning
balance]],PaymentSchedule3[[#This Row],[Beginning
balance]]-PaymentSchedule3[[#This Row],[Principal]],0),"")</calculatedColumnFormula>
    </tableColumn>
    <tableColumn id="10" xr3:uid="{FF2DDF66-04AB-4B2F-A770-16226B363CDF}" name="Cumulative_x000a_interest" dataDxfId="1" dataCellStyle="Table Amount">
      <calculatedColumnFormula>IF(PaymentSchedule3[[#This Row],[Payment number]]&lt;&gt;"",SUM(INDEX(PaymentSchedule3[Interest],1,1):PaymentSchedule3[[#This Row],[Interest]]),"")</calculatedColumnFormula>
    </tableColumn>
  </tableColumns>
  <tableStyleInfo name="Loan Amortization Schedule" showFirstColumn="0" showLastColumn="0" showRowStripes="1" showColumnStripes="0"/>
  <extLst>
    <ext xmlns:x14="http://schemas.microsoft.com/office/spreadsheetml/2009/9/main" uri="{504A1905-F514-4f6f-8877-14C23A59335A}">
      <x14:table altTextSummary="Track payment number, payment date, beginning balance, ending balance, scheduled payment, extra payment, principal amount, interest and cumulative interest amounts"/>
    </ext>
  </extLst>
</table>
</file>

<file path=xl/theme/theme1.xml><?xml version="1.0" encoding="utf-8"?>
<a:theme xmlns:a="http://schemas.openxmlformats.org/drawingml/2006/main" name="Office Theme">
  <a:themeElements>
    <a:clrScheme name="Custom 6">
      <a:dk1>
        <a:srgbClr val="000000"/>
      </a:dk1>
      <a:lt1>
        <a:srgbClr val="FFFFFF"/>
      </a:lt1>
      <a:dk2>
        <a:srgbClr val="635C50"/>
      </a:dk2>
      <a:lt2>
        <a:srgbClr val="E8E7E5"/>
      </a:lt2>
      <a:accent1>
        <a:srgbClr val="84C183"/>
      </a:accent1>
      <a:accent2>
        <a:srgbClr val="FCF600"/>
      </a:accent2>
      <a:accent3>
        <a:srgbClr val="82CECC"/>
      </a:accent3>
      <a:accent4>
        <a:srgbClr val="FFAD2E"/>
      </a:accent4>
      <a:accent5>
        <a:srgbClr val="E67342"/>
      </a:accent5>
      <a:accent6>
        <a:srgbClr val="0070C0"/>
      </a:accent6>
      <a:hlink>
        <a:srgbClr val="82CECC"/>
      </a:hlink>
      <a:folHlink>
        <a:srgbClr val="B580A1"/>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
    <wetp:webextensionref xmlns:r="http://schemas.openxmlformats.org/officeDocument/2006/relationships" r:id="rId1"/>
  </wetp:taskpane>
  <wetp:taskpane dockstate="right" visibility="0" width="438" row="2">
    <wetp:webextensionref xmlns:r="http://schemas.openxmlformats.org/officeDocument/2006/relationships" r:id="rId2"/>
  </wetp:taskpane>
  <wetp:taskpane dockstate="right" visibility="0" width="438" row="1">
    <wetp:webextensionref xmlns:r="http://schemas.openxmlformats.org/officeDocument/2006/relationships" r:id="rId3"/>
  </wetp:taskpane>
</wetp:taskpanes>
</file>

<file path=xl/webextensions/webextension1.xml><?xml version="1.0" encoding="utf-8"?>
<we:webextension xmlns:we="http://schemas.microsoft.com/office/webextensions/webextension/2010/11" id="{E656B60F-747C-46A4-8F43-22075CB67629}">
  <we:reference id="wa200007447" version="1.1.6.6" store="en-US" storeType="OMEX"/>
  <we:alternateReferences>
    <we:reference id="wa200007447" version="1.1.6.6" store="wa200007447"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_xldudf_BOARDFLARE_EXEC</we:customFunctionIds>
        <we:customFunctionIds>_xldudf_BOARDFLARE_RUNPY</we:customFunctionIds>
      </we:customFunctionIdList>
    </a:ext>
  </we:extLst>
</we:webextension>
</file>

<file path=xl/webextensions/webextension2.xml><?xml version="1.0" encoding="utf-8"?>
<we:webextension xmlns:we="http://schemas.microsoft.com/office/webextensions/webextension/2010/11" id="{DF2597D3-815F-4B82-875B-87539DF270E0}">
  <we:reference id="wa200006009" version="2.1.3.10" store="en-US" storeType="OMEX"/>
  <we:alternateReferences>
    <we:reference id="wa200006009" version="2.1.3.10" store="wa200006009" storeType="OMEX"/>
  </we:alternateReferences>
  <we:properties/>
  <we:bindings/>
  <we:snapshot xmlns:r="http://schemas.openxmlformats.org/officeDocument/2006/relationships"/>
</we:webextension>
</file>

<file path=xl/webextensions/webextension3.xml><?xml version="1.0" encoding="utf-8"?>
<we:webextension xmlns:we="http://schemas.microsoft.com/office/webextensions/webextension/2010/11" id="{8AD5E2C9-381D-4571-A645-7D58EAA1C17C}">
  <we:reference id="wa200009404" version="1.0.0.5" store="en-US" storeType="OMEX"/>
  <we:alternateReferences>
    <we:reference id="wa200009404" version="1.0.0.5" store="wa200009404"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90632-B3BD-43EF-A3A5-D48CEBC148C6}">
  <sheetPr>
    <tabColor theme="4" tint="-0.499984740745262"/>
    <pageSetUpPr autoPageBreaks="0" fitToPage="1"/>
  </sheetPr>
  <dimension ref="B1:L100"/>
  <sheetViews>
    <sheetView showGridLines="0" tabSelected="1" zoomScaleNormal="100" workbookViewId="0">
      <selection activeCell="E6" sqref="E6"/>
    </sheetView>
  </sheetViews>
  <sheetFormatPr defaultColWidth="8.88671875" defaultRowHeight="24" customHeight="1" x14ac:dyDescent="0.3"/>
  <cols>
    <col min="1" max="1" width="3.5546875" style="34" customWidth="1"/>
    <col min="2" max="3" width="15.6640625" style="34" customWidth="1"/>
    <col min="4" max="11" width="15.6640625" style="35" customWidth="1"/>
    <col min="12" max="12" width="3.5546875" style="34" customWidth="1"/>
    <col min="13" max="16384" width="8.88671875" style="34"/>
  </cols>
  <sheetData>
    <row r="1" spans="2:12" s="1" customFormat="1" ht="21" customHeight="1" x14ac:dyDescent="0.3">
      <c r="B1" s="4"/>
      <c r="C1" s="4"/>
      <c r="D1" s="4"/>
      <c r="E1" s="4"/>
      <c r="F1" s="4"/>
      <c r="G1" s="4"/>
      <c r="H1" s="4"/>
      <c r="I1" s="4"/>
      <c r="J1" s="4"/>
      <c r="K1" s="4"/>
      <c r="L1" s="1" t="s">
        <v>25</v>
      </c>
    </row>
    <row r="2" spans="2:12" s="1" customFormat="1" ht="67.95" customHeight="1" x14ac:dyDescent="0.3">
      <c r="B2" s="4"/>
      <c r="C2" s="36" t="s">
        <v>0</v>
      </c>
      <c r="D2" s="26"/>
      <c r="E2" s="26"/>
      <c r="F2" s="26"/>
      <c r="G2" s="26"/>
      <c r="H2" s="26"/>
      <c r="I2" s="26"/>
      <c r="J2" s="26"/>
      <c r="K2" s="26"/>
    </row>
    <row r="3" spans="2:12" s="1" customFormat="1" ht="24" customHeight="1" x14ac:dyDescent="0.3">
      <c r="B3" s="4"/>
      <c r="C3" s="4"/>
      <c r="D3" s="4"/>
      <c r="E3" s="4"/>
      <c r="F3" s="4"/>
      <c r="G3" s="4"/>
      <c r="H3" s="4"/>
      <c r="I3" s="4"/>
      <c r="J3" s="4"/>
      <c r="K3" s="4"/>
    </row>
    <row r="4" spans="2:12" customFormat="1" ht="37.950000000000003" customHeight="1" x14ac:dyDescent="0.3">
      <c r="B4" s="12" t="s">
        <v>1</v>
      </c>
      <c r="C4" s="10"/>
      <c r="D4" s="11"/>
      <c r="E4" s="2"/>
      <c r="G4" s="37" t="s">
        <v>2</v>
      </c>
      <c r="H4" s="2"/>
      <c r="I4" s="2"/>
      <c r="J4" s="3"/>
    </row>
    <row r="5" spans="2:12" customFormat="1" ht="24" customHeight="1" x14ac:dyDescent="0.3">
      <c r="B5" s="24" t="s">
        <v>3</v>
      </c>
      <c r="C5" s="27"/>
      <c r="D5" s="16"/>
      <c r="E5" s="13">
        <v>5000</v>
      </c>
      <c r="G5" s="22" t="s">
        <v>4</v>
      </c>
      <c r="H5" s="28"/>
      <c r="I5" s="40">
        <f ca="1">IF(LoanIsGood,-PMT(InterestRate/PaymentsPerYear,ScheduledNumberOfPayments,LoanAmount),"")</f>
        <v>425.74952097778959</v>
      </c>
      <c r="J5" s="41"/>
      <c r="K5" s="41"/>
    </row>
    <row r="6" spans="2:12" customFormat="1" ht="24" customHeight="1" x14ac:dyDescent="0.3">
      <c r="B6" s="24" t="s">
        <v>5</v>
      </c>
      <c r="C6" s="27"/>
      <c r="D6" s="16"/>
      <c r="E6" s="14">
        <v>0.04</v>
      </c>
      <c r="G6" s="23" t="s">
        <v>6</v>
      </c>
      <c r="H6" s="29"/>
      <c r="I6" s="42">
        <f ca="1">IF(LoanIsGood,LoanPeriod*PaymentsPerYear,"")</f>
        <v>12</v>
      </c>
      <c r="J6" s="43"/>
      <c r="K6" s="43"/>
    </row>
    <row r="7" spans="2:12" customFormat="1" ht="24" customHeight="1" x14ac:dyDescent="0.3">
      <c r="B7" s="24" t="s">
        <v>7</v>
      </c>
      <c r="C7" s="27"/>
      <c r="D7" s="16"/>
      <c r="E7" s="15">
        <v>1</v>
      </c>
      <c r="G7" s="23" t="s">
        <v>8</v>
      </c>
      <c r="H7" s="29"/>
      <c r="I7" s="42">
        <f ca="1">ActualNumberOfPayments</f>
        <v>10</v>
      </c>
      <c r="J7" s="43"/>
      <c r="K7" s="43"/>
    </row>
    <row r="8" spans="2:12" customFormat="1" ht="24" customHeight="1" x14ac:dyDescent="0.3">
      <c r="B8" s="24" t="s">
        <v>9</v>
      </c>
      <c r="C8" s="27"/>
      <c r="D8" s="16"/>
      <c r="E8" s="15">
        <v>12</v>
      </c>
      <c r="G8" s="23" t="s">
        <v>10</v>
      </c>
      <c r="H8" s="29"/>
      <c r="I8" s="44">
        <f ca="1">TotalEarlyPayments</f>
        <v>900</v>
      </c>
      <c r="J8" s="45"/>
      <c r="K8" s="45"/>
    </row>
    <row r="9" spans="2:12" customFormat="1" ht="24" customHeight="1" x14ac:dyDescent="0.3">
      <c r="B9" s="24" t="s">
        <v>11</v>
      </c>
      <c r="C9" s="27"/>
      <c r="D9" s="16"/>
      <c r="E9" s="17">
        <f ca="1">TODAY()</f>
        <v>46066</v>
      </c>
      <c r="G9" s="25" t="s">
        <v>12</v>
      </c>
      <c r="H9" s="30"/>
      <c r="I9" s="47">
        <f ca="1">TotalInterest</f>
        <v>89.621485965393447</v>
      </c>
      <c r="J9" s="48"/>
      <c r="K9" s="48"/>
    </row>
    <row r="10" spans="2:12" customFormat="1" ht="12.45" customHeight="1" x14ac:dyDescent="0.3">
      <c r="C10" s="6"/>
      <c r="D10" s="6"/>
      <c r="E10" s="7"/>
      <c r="G10" s="18"/>
      <c r="H10" s="18"/>
      <c r="I10" s="49"/>
      <c r="J10" s="49"/>
      <c r="K10" s="49"/>
    </row>
    <row r="11" spans="2:12" customFormat="1" ht="20.7" customHeight="1" x14ac:dyDescent="0.3">
      <c r="B11" s="46" t="s">
        <v>13</v>
      </c>
      <c r="C11" s="46"/>
      <c r="D11" s="46"/>
      <c r="E11" s="19">
        <v>100</v>
      </c>
      <c r="F11" s="9"/>
      <c r="G11" s="50" t="s">
        <v>14</v>
      </c>
      <c r="H11" s="50"/>
      <c r="I11" s="51" t="s">
        <v>15</v>
      </c>
      <c r="J11" s="51"/>
      <c r="K11" s="51"/>
    </row>
    <row r="12" spans="2:12" customFormat="1" ht="31.95" customHeight="1" x14ac:dyDescent="0.3">
      <c r="B12" s="20"/>
    </row>
    <row r="13" spans="2:12" s="39" customFormat="1" ht="48" customHeight="1" x14ac:dyDescent="0.3">
      <c r="B13" s="38" t="s">
        <v>16</v>
      </c>
      <c r="C13" s="38" t="s">
        <v>17</v>
      </c>
      <c r="D13" s="38" t="s">
        <v>18</v>
      </c>
      <c r="E13" s="38" t="s">
        <v>4</v>
      </c>
      <c r="F13" s="38" t="s">
        <v>19</v>
      </c>
      <c r="G13" s="38" t="s">
        <v>20</v>
      </c>
      <c r="H13" s="38" t="s">
        <v>21</v>
      </c>
      <c r="I13" s="38" t="s">
        <v>22</v>
      </c>
      <c r="J13" s="38" t="s">
        <v>23</v>
      </c>
      <c r="K13" s="38" t="s">
        <v>24</v>
      </c>
    </row>
    <row r="14" spans="2:12" customFormat="1" ht="24" customHeight="1" x14ac:dyDescent="0.3">
      <c r="B14" s="21">
        <f ca="1">IF(LoanIsGood,IF(ROW()-ROW(PaymentSchedule3[[#Headers],[Payment number]])&gt;ScheduledNumberOfPayments,"",ROW()-ROW(PaymentSchedule3[[#Headers],[Payment number]])),"")</f>
        <v>1</v>
      </c>
      <c r="C14" s="8">
        <f ca="1">IF(PaymentSchedule3[[#This Row],[Payment number]]&lt;&gt;"",EOMONTH(LoanStartDate,ROW(PaymentSchedule3[[#This Row],[Payment number]])-ROW(PaymentSchedule3[[#Headers],[Payment number]])-2)+DAY(LoanStartDate),"")</f>
        <v>46066</v>
      </c>
      <c r="D14" s="5">
        <f ca="1">IF(PaymentSchedule3[[#This Row],[Payment number]]&lt;&gt;"",IF(ROW()-ROW(PaymentSchedule3[[#Headers],[Beginning
balance]])=1,LoanAmount,INDEX(PaymentSchedule3[Ending
balance],ROW()-ROW(PaymentSchedule3[[#Headers],[Beginning
balance]])-1)),"")</f>
        <v>5000</v>
      </c>
      <c r="E14" s="5">
        <f ca="1">IF(PaymentSchedule3[[#This Row],[Payment number]]&lt;&gt;"",ScheduledPayment,"")</f>
        <v>425.74952097778959</v>
      </c>
      <c r="F14" s="5">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100</v>
      </c>
      <c r="G14" s="5">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525.74952097778964</v>
      </c>
      <c r="H14" s="5">
        <f ca="1">IF(PaymentSchedule3[[#This Row],[Payment number]]&lt;&gt;"",PaymentSchedule3[[#This Row],[Total
payment]]-PaymentSchedule3[[#This Row],[Interest]],"")</f>
        <v>509.08285431112296</v>
      </c>
      <c r="I14" s="5">
        <f ca="1">IF(PaymentSchedule3[[#This Row],[Payment number]]&lt;&gt;"",PaymentSchedule3[[#This Row],[Beginning
balance]]*(InterestRate/PaymentsPerYear),"")</f>
        <v>16.666666666666668</v>
      </c>
      <c r="J14" s="5">
        <f ca="1">IF(PaymentSchedule3[[#This Row],[Payment number]]&lt;&gt;"",IF(PaymentSchedule3[[#This Row],[Scheduled payment]]+PaymentSchedule3[[#This Row],[Extra
payment]]&lt;=PaymentSchedule3[[#This Row],[Beginning
balance]],PaymentSchedule3[[#This Row],[Beginning
balance]]-PaymentSchedule3[[#This Row],[Principal]],0),"")</f>
        <v>4490.9171456888771</v>
      </c>
      <c r="K14" s="5">
        <f ca="1">IF(PaymentSchedule3[[#This Row],[Payment number]]&lt;&gt;"",SUM(INDEX(PaymentSchedule3[Interest],1,1):PaymentSchedule3[[#This Row],[Interest]]),"")</f>
        <v>16.666666666666668</v>
      </c>
    </row>
    <row r="15" spans="2:12" customFormat="1" ht="24" customHeight="1" x14ac:dyDescent="0.3">
      <c r="B15" s="21">
        <f ca="1">IF(LoanIsGood,IF(ROW()-ROW(PaymentSchedule3[[#Headers],[Payment number]])&gt;ScheduledNumberOfPayments,"",ROW()-ROW(PaymentSchedule3[[#Headers],[Payment number]])),"")</f>
        <v>2</v>
      </c>
      <c r="C15" s="8">
        <f ca="1">IF(PaymentSchedule3[[#This Row],[Payment number]]&lt;&gt;"",EOMONTH(LoanStartDate,ROW(PaymentSchedule3[[#This Row],[Payment number]])-ROW(PaymentSchedule3[[#Headers],[Payment number]])-2)+DAY(LoanStartDate),"")</f>
        <v>46094</v>
      </c>
      <c r="D15" s="5">
        <f ca="1">IF(PaymentSchedule3[[#This Row],[Payment number]]&lt;&gt;"",IF(ROW()-ROW(PaymentSchedule3[[#Headers],[Beginning
balance]])=1,LoanAmount,INDEX(PaymentSchedule3[Ending
balance],ROW()-ROW(PaymentSchedule3[[#Headers],[Beginning
balance]])-1)),"")</f>
        <v>4490.9171456888771</v>
      </c>
      <c r="E15" s="5">
        <f ca="1">IF(PaymentSchedule3[[#This Row],[Payment number]]&lt;&gt;"",ScheduledPayment,"")</f>
        <v>425.74952097778959</v>
      </c>
      <c r="F15" s="5">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100</v>
      </c>
      <c r="G15" s="5">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525.74952097778964</v>
      </c>
      <c r="H15" s="5">
        <f ca="1">IF(PaymentSchedule3[[#This Row],[Payment number]]&lt;&gt;"",PaymentSchedule3[[#This Row],[Total
payment]]-PaymentSchedule3[[#This Row],[Interest]],"")</f>
        <v>510.77979715882674</v>
      </c>
      <c r="I15" s="5">
        <f ca="1">IF(PaymentSchedule3[[#This Row],[Payment number]]&lt;&gt;"",PaymentSchedule3[[#This Row],[Beginning
balance]]*(InterestRate/PaymentsPerYear),"")</f>
        <v>14.969723818962924</v>
      </c>
      <c r="J15" s="5">
        <f ca="1">IF(PaymentSchedule3[[#This Row],[Payment number]]&lt;&gt;"",IF(PaymentSchedule3[[#This Row],[Scheduled payment]]+PaymentSchedule3[[#This Row],[Extra
payment]]&lt;=PaymentSchedule3[[#This Row],[Beginning
balance]],PaymentSchedule3[[#This Row],[Beginning
balance]]-PaymentSchedule3[[#This Row],[Principal]],0),"")</f>
        <v>3980.1373485300505</v>
      </c>
      <c r="K15" s="5">
        <f ca="1">IF(PaymentSchedule3[[#This Row],[Payment number]]&lt;&gt;"",SUM(INDEX(PaymentSchedule3[Interest],1,1):PaymentSchedule3[[#This Row],[Interest]]),"")</f>
        <v>31.63639048562959</v>
      </c>
    </row>
    <row r="16" spans="2:12" customFormat="1" ht="24" customHeight="1" x14ac:dyDescent="0.3">
      <c r="B16" s="21">
        <f ca="1">IF(LoanIsGood,IF(ROW()-ROW(PaymentSchedule3[[#Headers],[Payment number]])&gt;ScheduledNumberOfPayments,"",ROW()-ROW(PaymentSchedule3[[#Headers],[Payment number]])),"")</f>
        <v>3</v>
      </c>
      <c r="C16" s="8">
        <f ca="1">IF(PaymentSchedule3[[#This Row],[Payment number]]&lt;&gt;"",EOMONTH(LoanStartDate,ROW(PaymentSchedule3[[#This Row],[Payment number]])-ROW(PaymentSchedule3[[#Headers],[Payment number]])-2)+DAY(LoanStartDate),"")</f>
        <v>46125</v>
      </c>
      <c r="D16" s="5">
        <f ca="1">IF(PaymentSchedule3[[#This Row],[Payment number]]&lt;&gt;"",IF(ROW()-ROW(PaymentSchedule3[[#Headers],[Beginning
balance]])=1,LoanAmount,INDEX(PaymentSchedule3[Ending
balance],ROW()-ROW(PaymentSchedule3[[#Headers],[Beginning
balance]])-1)),"")</f>
        <v>3980.1373485300505</v>
      </c>
      <c r="E16" s="5">
        <f ca="1">IF(PaymentSchedule3[[#This Row],[Payment number]]&lt;&gt;"",ScheduledPayment,"")</f>
        <v>425.74952097778959</v>
      </c>
      <c r="F16" s="5">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100</v>
      </c>
      <c r="G16" s="5">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525.74952097778964</v>
      </c>
      <c r="H16" s="5">
        <f ca="1">IF(PaymentSchedule3[[#This Row],[Payment number]]&lt;&gt;"",PaymentSchedule3[[#This Row],[Total
payment]]-PaymentSchedule3[[#This Row],[Interest]],"")</f>
        <v>512.48239648268952</v>
      </c>
      <c r="I16" s="5">
        <f ca="1">IF(PaymentSchedule3[[#This Row],[Payment number]]&lt;&gt;"",PaymentSchedule3[[#This Row],[Beginning
balance]]*(InterestRate/PaymentsPerYear),"")</f>
        <v>13.26712449510017</v>
      </c>
      <c r="J16" s="5">
        <f ca="1">IF(PaymentSchedule3[[#This Row],[Payment number]]&lt;&gt;"",IF(PaymentSchedule3[[#This Row],[Scheduled payment]]+PaymentSchedule3[[#This Row],[Extra
payment]]&lt;=PaymentSchedule3[[#This Row],[Beginning
balance]],PaymentSchedule3[[#This Row],[Beginning
balance]]-PaymentSchedule3[[#This Row],[Principal]],0),"")</f>
        <v>3467.6549520473609</v>
      </c>
      <c r="K16" s="5">
        <f ca="1">IF(PaymentSchedule3[[#This Row],[Payment number]]&lt;&gt;"",SUM(INDEX(PaymentSchedule3[Interest],1,1):PaymentSchedule3[[#This Row],[Interest]]),"")</f>
        <v>44.90351498072976</v>
      </c>
    </row>
    <row r="17" spans="2:11" customFormat="1" ht="24" customHeight="1" x14ac:dyDescent="0.3">
      <c r="B17" s="21">
        <f ca="1">IF(LoanIsGood,IF(ROW()-ROW(PaymentSchedule3[[#Headers],[Payment number]])&gt;ScheduledNumberOfPayments,"",ROW()-ROW(PaymentSchedule3[[#Headers],[Payment number]])),"")</f>
        <v>4</v>
      </c>
      <c r="C17" s="8">
        <f ca="1">IF(PaymentSchedule3[[#This Row],[Payment number]]&lt;&gt;"",EOMONTH(LoanStartDate,ROW(PaymentSchedule3[[#This Row],[Payment number]])-ROW(PaymentSchedule3[[#Headers],[Payment number]])-2)+DAY(LoanStartDate),"")</f>
        <v>46155</v>
      </c>
      <c r="D17" s="5">
        <f ca="1">IF(PaymentSchedule3[[#This Row],[Payment number]]&lt;&gt;"",IF(ROW()-ROW(PaymentSchedule3[[#Headers],[Beginning
balance]])=1,LoanAmount,INDEX(PaymentSchedule3[Ending
balance],ROW()-ROW(PaymentSchedule3[[#Headers],[Beginning
balance]])-1)),"")</f>
        <v>3467.6549520473609</v>
      </c>
      <c r="E17" s="5">
        <f ca="1">IF(PaymentSchedule3[[#This Row],[Payment number]]&lt;&gt;"",ScheduledPayment,"")</f>
        <v>425.74952097778959</v>
      </c>
      <c r="F17" s="5">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100</v>
      </c>
      <c r="G17" s="5">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525.74952097778964</v>
      </c>
      <c r="H17" s="5">
        <f ca="1">IF(PaymentSchedule3[[#This Row],[Payment number]]&lt;&gt;"",PaymentSchedule3[[#This Row],[Total
payment]]-PaymentSchedule3[[#This Row],[Interest]],"")</f>
        <v>514.19067113763174</v>
      </c>
      <c r="I17" s="5">
        <f ca="1">IF(PaymentSchedule3[[#This Row],[Payment number]]&lt;&gt;"",PaymentSchedule3[[#This Row],[Beginning
balance]]*(InterestRate/PaymentsPerYear),"")</f>
        <v>11.558849840157871</v>
      </c>
      <c r="J17" s="5">
        <f ca="1">IF(PaymentSchedule3[[#This Row],[Payment number]]&lt;&gt;"",IF(PaymentSchedule3[[#This Row],[Scheduled payment]]+PaymentSchedule3[[#This Row],[Extra
payment]]&lt;=PaymentSchedule3[[#This Row],[Beginning
balance]],PaymentSchedule3[[#This Row],[Beginning
balance]]-PaymentSchedule3[[#This Row],[Principal]],0),"")</f>
        <v>2953.464280909729</v>
      </c>
      <c r="K17" s="5">
        <f ca="1">IF(PaymentSchedule3[[#This Row],[Payment number]]&lt;&gt;"",SUM(INDEX(PaymentSchedule3[Interest],1,1):PaymentSchedule3[[#This Row],[Interest]]),"")</f>
        <v>56.462364820887629</v>
      </c>
    </row>
    <row r="18" spans="2:11" customFormat="1" ht="24" customHeight="1" x14ac:dyDescent="0.3">
      <c r="B18" s="21">
        <f ca="1">IF(LoanIsGood,IF(ROW()-ROW(PaymentSchedule3[[#Headers],[Payment number]])&gt;ScheduledNumberOfPayments,"",ROW()-ROW(PaymentSchedule3[[#Headers],[Payment number]])),"")</f>
        <v>5</v>
      </c>
      <c r="C18" s="8">
        <f ca="1">IF(PaymentSchedule3[[#This Row],[Payment number]]&lt;&gt;"",EOMONTH(LoanStartDate,ROW(PaymentSchedule3[[#This Row],[Payment number]])-ROW(PaymentSchedule3[[#Headers],[Payment number]])-2)+DAY(LoanStartDate),"")</f>
        <v>46186</v>
      </c>
      <c r="D18" s="5">
        <f ca="1">IF(PaymentSchedule3[[#This Row],[Payment number]]&lt;&gt;"",IF(ROW()-ROW(PaymentSchedule3[[#Headers],[Beginning
balance]])=1,LoanAmount,INDEX(PaymentSchedule3[Ending
balance],ROW()-ROW(PaymentSchedule3[[#Headers],[Beginning
balance]])-1)),"")</f>
        <v>2953.464280909729</v>
      </c>
      <c r="E18" s="5">
        <f ca="1">IF(PaymentSchedule3[[#This Row],[Payment number]]&lt;&gt;"",ScheduledPayment,"")</f>
        <v>425.74952097778959</v>
      </c>
      <c r="F18" s="5">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100</v>
      </c>
      <c r="G18" s="5">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525.74952097778964</v>
      </c>
      <c r="H18" s="5">
        <f ca="1">IF(PaymentSchedule3[[#This Row],[Payment number]]&lt;&gt;"",PaymentSchedule3[[#This Row],[Total
payment]]-PaymentSchedule3[[#This Row],[Interest]],"")</f>
        <v>515.90464004142393</v>
      </c>
      <c r="I18" s="5">
        <f ca="1">IF(PaymentSchedule3[[#This Row],[Payment number]]&lt;&gt;"",PaymentSchedule3[[#This Row],[Beginning
balance]]*(InterestRate/PaymentsPerYear),"")</f>
        <v>9.8448809363657634</v>
      </c>
      <c r="J18" s="5">
        <f ca="1">IF(PaymentSchedule3[[#This Row],[Payment number]]&lt;&gt;"",IF(PaymentSchedule3[[#This Row],[Scheduled payment]]+PaymentSchedule3[[#This Row],[Extra
payment]]&lt;=PaymentSchedule3[[#This Row],[Beginning
balance]],PaymentSchedule3[[#This Row],[Beginning
balance]]-PaymentSchedule3[[#This Row],[Principal]],0),"")</f>
        <v>2437.559640868305</v>
      </c>
      <c r="K18" s="5">
        <f ca="1">IF(PaymentSchedule3[[#This Row],[Payment number]]&lt;&gt;"",SUM(INDEX(PaymentSchedule3[Interest],1,1):PaymentSchedule3[[#This Row],[Interest]]),"")</f>
        <v>66.307245757253398</v>
      </c>
    </row>
    <row r="19" spans="2:11" customFormat="1" ht="24" customHeight="1" x14ac:dyDescent="0.3">
      <c r="B19" s="21">
        <f ca="1">IF(LoanIsGood,IF(ROW()-ROW(PaymentSchedule3[[#Headers],[Payment number]])&gt;ScheduledNumberOfPayments,"",ROW()-ROW(PaymentSchedule3[[#Headers],[Payment number]])),"")</f>
        <v>6</v>
      </c>
      <c r="C19" s="8">
        <f ca="1">IF(PaymentSchedule3[[#This Row],[Payment number]]&lt;&gt;"",EOMONTH(LoanStartDate,ROW(PaymentSchedule3[[#This Row],[Payment number]])-ROW(PaymentSchedule3[[#Headers],[Payment number]])-2)+DAY(LoanStartDate),"")</f>
        <v>46216</v>
      </c>
      <c r="D19" s="5">
        <f ca="1">IF(PaymentSchedule3[[#This Row],[Payment number]]&lt;&gt;"",IF(ROW()-ROW(PaymentSchedule3[[#Headers],[Beginning
balance]])=1,LoanAmount,INDEX(PaymentSchedule3[Ending
balance],ROW()-ROW(PaymentSchedule3[[#Headers],[Beginning
balance]])-1)),"")</f>
        <v>2437.559640868305</v>
      </c>
      <c r="E19" s="5">
        <f ca="1">IF(PaymentSchedule3[[#This Row],[Payment number]]&lt;&gt;"",ScheduledPayment,"")</f>
        <v>425.74952097778959</v>
      </c>
      <c r="F19" s="5">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100</v>
      </c>
      <c r="G19" s="5">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525.74952097778964</v>
      </c>
      <c r="H19" s="5">
        <f ca="1">IF(PaymentSchedule3[[#This Row],[Payment number]]&lt;&gt;"",PaymentSchedule3[[#This Row],[Total
payment]]-PaymentSchedule3[[#This Row],[Interest]],"")</f>
        <v>517.62432217489527</v>
      </c>
      <c r="I19" s="5">
        <f ca="1">IF(PaymentSchedule3[[#This Row],[Payment number]]&lt;&gt;"",PaymentSchedule3[[#This Row],[Beginning
balance]]*(InterestRate/PaymentsPerYear),"")</f>
        <v>8.1251988028943511</v>
      </c>
      <c r="J19" s="5">
        <f ca="1">IF(PaymentSchedule3[[#This Row],[Payment number]]&lt;&gt;"",IF(PaymentSchedule3[[#This Row],[Scheduled payment]]+PaymentSchedule3[[#This Row],[Extra
payment]]&lt;=PaymentSchedule3[[#This Row],[Beginning
balance]],PaymentSchedule3[[#This Row],[Beginning
balance]]-PaymentSchedule3[[#This Row],[Principal]],0),"")</f>
        <v>1919.9353186934097</v>
      </c>
      <c r="K19" s="5">
        <f ca="1">IF(PaymentSchedule3[[#This Row],[Payment number]]&lt;&gt;"",SUM(INDEX(PaymentSchedule3[Interest],1,1):PaymentSchedule3[[#This Row],[Interest]]),"")</f>
        <v>74.432444560147744</v>
      </c>
    </row>
    <row r="20" spans="2:11" customFormat="1" ht="24" customHeight="1" x14ac:dyDescent="0.3">
      <c r="B20" s="21">
        <f ca="1">IF(LoanIsGood,IF(ROW()-ROW(PaymentSchedule3[[#Headers],[Payment number]])&gt;ScheduledNumberOfPayments,"",ROW()-ROW(PaymentSchedule3[[#Headers],[Payment number]])),"")</f>
        <v>7</v>
      </c>
      <c r="C20" s="8">
        <f ca="1">IF(PaymentSchedule3[[#This Row],[Payment number]]&lt;&gt;"",EOMONTH(LoanStartDate,ROW(PaymentSchedule3[[#This Row],[Payment number]])-ROW(PaymentSchedule3[[#Headers],[Payment number]])-2)+DAY(LoanStartDate),"")</f>
        <v>46247</v>
      </c>
      <c r="D20" s="5">
        <f ca="1">IF(PaymentSchedule3[[#This Row],[Payment number]]&lt;&gt;"",IF(ROW()-ROW(PaymentSchedule3[[#Headers],[Beginning
balance]])=1,LoanAmount,INDEX(PaymentSchedule3[Ending
balance],ROW()-ROW(PaymentSchedule3[[#Headers],[Beginning
balance]])-1)),"")</f>
        <v>1919.9353186934097</v>
      </c>
      <c r="E20" s="5">
        <f ca="1">IF(PaymentSchedule3[[#This Row],[Payment number]]&lt;&gt;"",ScheduledPayment,"")</f>
        <v>425.74952097778959</v>
      </c>
      <c r="F20" s="5">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100</v>
      </c>
      <c r="G20" s="5">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525.74952097778964</v>
      </c>
      <c r="H20" s="5">
        <f ca="1">IF(PaymentSchedule3[[#This Row],[Payment number]]&lt;&gt;"",PaymentSchedule3[[#This Row],[Total
payment]]-PaymentSchedule3[[#This Row],[Interest]],"")</f>
        <v>519.34973658214494</v>
      </c>
      <c r="I20" s="5">
        <f ca="1">IF(PaymentSchedule3[[#This Row],[Payment number]]&lt;&gt;"",PaymentSchedule3[[#This Row],[Beginning
balance]]*(InterestRate/PaymentsPerYear),"")</f>
        <v>6.3997843956446996</v>
      </c>
      <c r="J20" s="5">
        <f ca="1">IF(PaymentSchedule3[[#This Row],[Payment number]]&lt;&gt;"",IF(PaymentSchedule3[[#This Row],[Scheduled payment]]+PaymentSchedule3[[#This Row],[Extra
payment]]&lt;=PaymentSchedule3[[#This Row],[Beginning
balance]],PaymentSchedule3[[#This Row],[Beginning
balance]]-PaymentSchedule3[[#This Row],[Principal]],0),"")</f>
        <v>1400.5855821112648</v>
      </c>
      <c r="K20" s="5">
        <f ca="1">IF(PaymentSchedule3[[#This Row],[Payment number]]&lt;&gt;"",SUM(INDEX(PaymentSchedule3[Interest],1,1):PaymentSchedule3[[#This Row],[Interest]]),"")</f>
        <v>80.832228955792445</v>
      </c>
    </row>
    <row r="21" spans="2:11" customFormat="1" ht="24" customHeight="1" x14ac:dyDescent="0.3">
      <c r="B21" s="21">
        <f ca="1">IF(LoanIsGood,IF(ROW()-ROW(PaymentSchedule3[[#Headers],[Payment number]])&gt;ScheduledNumberOfPayments,"",ROW()-ROW(PaymentSchedule3[[#Headers],[Payment number]])),"")</f>
        <v>8</v>
      </c>
      <c r="C21" s="8">
        <f ca="1">IF(PaymentSchedule3[[#This Row],[Payment number]]&lt;&gt;"",EOMONTH(LoanStartDate,ROW(PaymentSchedule3[[#This Row],[Payment number]])-ROW(PaymentSchedule3[[#Headers],[Payment number]])-2)+DAY(LoanStartDate),"")</f>
        <v>46278</v>
      </c>
      <c r="D21" s="5">
        <f ca="1">IF(PaymentSchedule3[[#This Row],[Payment number]]&lt;&gt;"",IF(ROW()-ROW(PaymentSchedule3[[#Headers],[Beginning
balance]])=1,LoanAmount,INDEX(PaymentSchedule3[Ending
balance],ROW()-ROW(PaymentSchedule3[[#Headers],[Beginning
balance]])-1)),"")</f>
        <v>1400.5855821112648</v>
      </c>
      <c r="E21" s="5">
        <f ca="1">IF(PaymentSchedule3[[#This Row],[Payment number]]&lt;&gt;"",ScheduledPayment,"")</f>
        <v>425.74952097778959</v>
      </c>
      <c r="F21" s="5">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100</v>
      </c>
      <c r="G21" s="5">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525.74952097778964</v>
      </c>
      <c r="H21" s="5">
        <f ca="1">IF(PaymentSchedule3[[#This Row],[Payment number]]&lt;&gt;"",PaymentSchedule3[[#This Row],[Total
payment]]-PaymentSchedule3[[#This Row],[Interest]],"")</f>
        <v>521.08090237075214</v>
      </c>
      <c r="I21" s="5">
        <f ca="1">IF(PaymentSchedule3[[#This Row],[Payment number]]&lt;&gt;"",PaymentSchedule3[[#This Row],[Beginning
balance]]*(InterestRate/PaymentsPerYear),"")</f>
        <v>4.6686186070375495</v>
      </c>
      <c r="J21" s="5">
        <f ca="1">IF(PaymentSchedule3[[#This Row],[Payment number]]&lt;&gt;"",IF(PaymentSchedule3[[#This Row],[Scheduled payment]]+PaymentSchedule3[[#This Row],[Extra
payment]]&lt;=PaymentSchedule3[[#This Row],[Beginning
balance]],PaymentSchedule3[[#This Row],[Beginning
balance]]-PaymentSchedule3[[#This Row],[Principal]],0),"")</f>
        <v>879.50467974051264</v>
      </c>
      <c r="K21" s="5">
        <f ca="1">IF(PaymentSchedule3[[#This Row],[Payment number]]&lt;&gt;"",SUM(INDEX(PaymentSchedule3[Interest],1,1):PaymentSchedule3[[#This Row],[Interest]]),"")</f>
        <v>85.500847562829989</v>
      </c>
    </row>
    <row r="22" spans="2:11" customFormat="1" ht="24" customHeight="1" x14ac:dyDescent="0.3">
      <c r="B22" s="21">
        <f ca="1">IF(LoanIsGood,IF(ROW()-ROW(PaymentSchedule3[[#Headers],[Payment number]])&gt;ScheduledNumberOfPayments,"",ROW()-ROW(PaymentSchedule3[[#Headers],[Payment number]])),"")</f>
        <v>9</v>
      </c>
      <c r="C22" s="8">
        <f ca="1">IF(PaymentSchedule3[[#This Row],[Payment number]]&lt;&gt;"",EOMONTH(LoanStartDate,ROW(PaymentSchedule3[[#This Row],[Payment number]])-ROW(PaymentSchedule3[[#Headers],[Payment number]])-2)+DAY(LoanStartDate),"")</f>
        <v>46308</v>
      </c>
      <c r="D22" s="5">
        <f ca="1">IF(PaymentSchedule3[[#This Row],[Payment number]]&lt;&gt;"",IF(ROW()-ROW(PaymentSchedule3[[#Headers],[Beginning
balance]])=1,LoanAmount,INDEX(PaymentSchedule3[Ending
balance],ROW()-ROW(PaymentSchedule3[[#Headers],[Beginning
balance]])-1)),"")</f>
        <v>879.50467974051264</v>
      </c>
      <c r="E22" s="5">
        <f ca="1">IF(PaymentSchedule3[[#This Row],[Payment number]]&lt;&gt;"",ScheduledPayment,"")</f>
        <v>425.74952097778959</v>
      </c>
      <c r="F22" s="5">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100</v>
      </c>
      <c r="G22" s="5">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525.74952097778964</v>
      </c>
      <c r="H22" s="5">
        <f ca="1">IF(PaymentSchedule3[[#This Row],[Payment number]]&lt;&gt;"",PaymentSchedule3[[#This Row],[Total
payment]]-PaymentSchedule3[[#This Row],[Interest]],"")</f>
        <v>522.81783871198797</v>
      </c>
      <c r="I22" s="5">
        <f ca="1">IF(PaymentSchedule3[[#This Row],[Payment number]]&lt;&gt;"",PaymentSchedule3[[#This Row],[Beginning
balance]]*(InterestRate/PaymentsPerYear),"")</f>
        <v>2.931682265801709</v>
      </c>
      <c r="J22" s="5">
        <f ca="1">IF(PaymentSchedule3[[#This Row],[Payment number]]&lt;&gt;"",IF(PaymentSchedule3[[#This Row],[Scheduled payment]]+PaymentSchedule3[[#This Row],[Extra
payment]]&lt;=PaymentSchedule3[[#This Row],[Beginning
balance]],PaymentSchedule3[[#This Row],[Beginning
balance]]-PaymentSchedule3[[#This Row],[Principal]],0),"")</f>
        <v>356.68684102852467</v>
      </c>
      <c r="K22" s="5">
        <f ca="1">IF(PaymentSchedule3[[#This Row],[Payment number]]&lt;&gt;"",SUM(INDEX(PaymentSchedule3[Interest],1,1):PaymentSchedule3[[#This Row],[Interest]]),"")</f>
        <v>88.432529828631701</v>
      </c>
    </row>
    <row r="23" spans="2:11" customFormat="1" ht="24" customHeight="1" x14ac:dyDescent="0.3">
      <c r="B23" s="21">
        <f ca="1">IF(LoanIsGood,IF(ROW()-ROW(PaymentSchedule3[[#Headers],[Payment number]])&gt;ScheduledNumberOfPayments,"",ROW()-ROW(PaymentSchedule3[[#Headers],[Payment number]])),"")</f>
        <v>10</v>
      </c>
      <c r="C23" s="8">
        <f ca="1">IF(PaymentSchedule3[[#This Row],[Payment number]]&lt;&gt;"",EOMONTH(LoanStartDate,ROW(PaymentSchedule3[[#This Row],[Payment number]])-ROW(PaymentSchedule3[[#Headers],[Payment number]])-2)+DAY(LoanStartDate),"")</f>
        <v>46339</v>
      </c>
      <c r="D23" s="5">
        <f ca="1">IF(PaymentSchedule3[[#This Row],[Payment number]]&lt;&gt;"",IF(ROW()-ROW(PaymentSchedule3[[#Headers],[Beginning
balance]])=1,LoanAmount,INDEX(PaymentSchedule3[Ending
balance],ROW()-ROW(PaymentSchedule3[[#Headers],[Beginning
balance]])-1)),"")</f>
        <v>356.68684102852467</v>
      </c>
      <c r="E23" s="5">
        <f ca="1">IF(PaymentSchedule3[[#This Row],[Payment number]]&lt;&gt;"",ScheduledPayment,"")</f>
        <v>425.74952097778959</v>
      </c>
      <c r="F23" s="5">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0</v>
      </c>
      <c r="G23" s="5">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356.68684102852467</v>
      </c>
      <c r="H23" s="5">
        <f ca="1">IF(PaymentSchedule3[[#This Row],[Payment number]]&lt;&gt;"",PaymentSchedule3[[#This Row],[Total
payment]]-PaymentSchedule3[[#This Row],[Interest]],"")</f>
        <v>355.49788489176291</v>
      </c>
      <c r="I23" s="5">
        <f ca="1">IF(PaymentSchedule3[[#This Row],[Payment number]]&lt;&gt;"",PaymentSchedule3[[#This Row],[Beginning
balance]]*(InterestRate/PaymentsPerYear),"")</f>
        <v>1.1889561367617489</v>
      </c>
      <c r="J23" s="5">
        <f ca="1">IF(PaymentSchedule3[[#This Row],[Payment number]]&lt;&gt;"",IF(PaymentSchedule3[[#This Row],[Scheduled payment]]+PaymentSchedule3[[#This Row],[Extra
payment]]&lt;=PaymentSchedule3[[#This Row],[Beginning
balance]],PaymentSchedule3[[#This Row],[Beginning
balance]]-PaymentSchedule3[[#This Row],[Principal]],0),"")</f>
        <v>0</v>
      </c>
      <c r="K23" s="5">
        <f ca="1">IF(PaymentSchedule3[[#This Row],[Payment number]]&lt;&gt;"",SUM(INDEX(PaymentSchedule3[Interest],1,1):PaymentSchedule3[[#This Row],[Interest]]),"")</f>
        <v>89.621485965393447</v>
      </c>
    </row>
    <row r="24" spans="2:11" ht="24" customHeight="1" x14ac:dyDescent="0.3">
      <c r="B24" s="21">
        <f ca="1">IF(LoanIsGood,IF(ROW()-ROW(PaymentSchedule3[[#Headers],[Payment number]])&gt;ScheduledNumberOfPayments,"",ROW()-ROW(PaymentSchedule3[[#Headers],[Payment number]])),"")</f>
        <v>11</v>
      </c>
      <c r="C24" s="8">
        <f ca="1">IF(PaymentSchedule3[[#This Row],[Payment number]]&lt;&gt;"",EOMONTH(LoanStartDate,ROW(PaymentSchedule3[[#This Row],[Payment number]])-ROW(PaymentSchedule3[[#Headers],[Payment number]])-2)+DAY(LoanStartDate),"")</f>
        <v>46369</v>
      </c>
      <c r="D24" s="5">
        <f ca="1">IF(PaymentSchedule3[[#This Row],[Payment number]]&lt;&gt;"",IF(ROW()-ROW(PaymentSchedule3[[#Headers],[Beginning
balance]])=1,LoanAmount,INDEX(PaymentSchedule3[Ending
balance],ROW()-ROW(PaymentSchedule3[[#Headers],[Beginning
balance]])-1)),"")</f>
        <v>0</v>
      </c>
      <c r="E24" s="5">
        <f ca="1">IF(PaymentSchedule3[[#This Row],[Payment number]]&lt;&gt;"",ScheduledPayment,"")</f>
        <v>425.74952097778959</v>
      </c>
      <c r="F24" s="5">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0</v>
      </c>
      <c r="G24" s="5">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0</v>
      </c>
      <c r="H24" s="5">
        <f ca="1">IF(PaymentSchedule3[[#This Row],[Payment number]]&lt;&gt;"",PaymentSchedule3[[#This Row],[Total
payment]]-PaymentSchedule3[[#This Row],[Interest]],"")</f>
        <v>0</v>
      </c>
      <c r="I24" s="5">
        <f ca="1">IF(PaymentSchedule3[[#This Row],[Payment number]]&lt;&gt;"",PaymentSchedule3[[#This Row],[Beginning
balance]]*(InterestRate/PaymentsPerYear),"")</f>
        <v>0</v>
      </c>
      <c r="J24" s="5">
        <f ca="1">IF(PaymentSchedule3[[#This Row],[Payment number]]&lt;&gt;"",IF(PaymentSchedule3[[#This Row],[Scheduled payment]]+PaymentSchedule3[[#This Row],[Extra
payment]]&lt;=PaymentSchedule3[[#This Row],[Beginning
balance]],PaymentSchedule3[[#This Row],[Beginning
balance]]-PaymentSchedule3[[#This Row],[Principal]],0),"")</f>
        <v>0</v>
      </c>
      <c r="K24" s="5">
        <f ca="1">IF(PaymentSchedule3[[#This Row],[Payment number]]&lt;&gt;"",SUM(INDEX(PaymentSchedule3[Interest],1,1):PaymentSchedule3[[#This Row],[Interest]]),"")</f>
        <v>89.621485965393447</v>
      </c>
    </row>
    <row r="25" spans="2:11" ht="24" customHeight="1" x14ac:dyDescent="0.3">
      <c r="B25" s="21">
        <f ca="1">IF(LoanIsGood,IF(ROW()-ROW(PaymentSchedule3[[#Headers],[Payment number]])&gt;ScheduledNumberOfPayments,"",ROW()-ROW(PaymentSchedule3[[#Headers],[Payment number]])),"")</f>
        <v>12</v>
      </c>
      <c r="C25" s="8">
        <f ca="1">IF(PaymentSchedule3[[#This Row],[Payment number]]&lt;&gt;"",EOMONTH(LoanStartDate,ROW(PaymentSchedule3[[#This Row],[Payment number]])-ROW(PaymentSchedule3[[#Headers],[Payment number]])-2)+DAY(LoanStartDate),"")</f>
        <v>46400</v>
      </c>
      <c r="D25" s="5">
        <f ca="1">IF(PaymentSchedule3[[#This Row],[Payment number]]&lt;&gt;"",IF(ROW()-ROW(PaymentSchedule3[[#Headers],[Beginning
balance]])=1,LoanAmount,INDEX(PaymentSchedule3[Ending
balance],ROW()-ROW(PaymentSchedule3[[#Headers],[Beginning
balance]])-1)),"")</f>
        <v>0</v>
      </c>
      <c r="E25" s="5">
        <f ca="1">IF(PaymentSchedule3[[#This Row],[Payment number]]&lt;&gt;"",ScheduledPayment,"")</f>
        <v>425.74952097778959</v>
      </c>
      <c r="F25" s="5">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0</v>
      </c>
      <c r="G25" s="5">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0</v>
      </c>
      <c r="H25" s="5">
        <f ca="1">IF(PaymentSchedule3[[#This Row],[Payment number]]&lt;&gt;"",PaymentSchedule3[[#This Row],[Total
payment]]-PaymentSchedule3[[#This Row],[Interest]],"")</f>
        <v>0</v>
      </c>
      <c r="I25" s="5">
        <f ca="1">IF(PaymentSchedule3[[#This Row],[Payment number]]&lt;&gt;"",PaymentSchedule3[[#This Row],[Beginning
balance]]*(InterestRate/PaymentsPerYear),"")</f>
        <v>0</v>
      </c>
      <c r="J25" s="5">
        <f ca="1">IF(PaymentSchedule3[[#This Row],[Payment number]]&lt;&gt;"",IF(PaymentSchedule3[[#This Row],[Scheduled payment]]+PaymentSchedule3[[#This Row],[Extra
payment]]&lt;=PaymentSchedule3[[#This Row],[Beginning
balance]],PaymentSchedule3[[#This Row],[Beginning
balance]]-PaymentSchedule3[[#This Row],[Principal]],0),"")</f>
        <v>0</v>
      </c>
      <c r="K25" s="5">
        <f ca="1">IF(PaymentSchedule3[[#This Row],[Payment number]]&lt;&gt;"",SUM(INDEX(PaymentSchedule3[Interest],1,1):PaymentSchedule3[[#This Row],[Interest]]),"")</f>
        <v>89.621485965393447</v>
      </c>
    </row>
    <row r="26" spans="2:11" ht="24" customHeight="1" x14ac:dyDescent="0.3">
      <c r="B26" s="21" t="str">
        <f ca="1">IF(LoanIsGood,IF(ROW()-ROW(PaymentSchedule3[[#Headers],[Payment number]])&gt;ScheduledNumberOfPayments,"",ROW()-ROW(PaymentSchedule3[[#Headers],[Payment number]])),"")</f>
        <v/>
      </c>
      <c r="C26" s="8" t="str">
        <f ca="1">IF(PaymentSchedule3[[#This Row],[Payment number]]&lt;&gt;"",EOMONTH(LoanStartDate,ROW(PaymentSchedule3[[#This Row],[Payment number]])-ROW(PaymentSchedule3[[#Headers],[Payment number]])-2)+DAY(LoanStartDate),"")</f>
        <v/>
      </c>
      <c r="D26" s="5" t="str">
        <f ca="1">IF(PaymentSchedule3[[#This Row],[Payment number]]&lt;&gt;"",IF(ROW()-ROW(PaymentSchedule3[[#Headers],[Beginning
balance]])=1,LoanAmount,INDEX(PaymentSchedule3[Ending
balance],ROW()-ROW(PaymentSchedule3[[#Headers],[Beginning
balance]])-1)),"")</f>
        <v/>
      </c>
      <c r="E26" s="5" t="str">
        <f ca="1">IF(PaymentSchedule3[[#This Row],[Payment number]]&lt;&gt;"",ScheduledPayment,"")</f>
        <v/>
      </c>
      <c r="F26" s="5"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26" s="5"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26" s="5" t="str">
        <f ca="1">IF(PaymentSchedule3[[#This Row],[Payment number]]&lt;&gt;"",PaymentSchedule3[[#This Row],[Total
payment]]-PaymentSchedule3[[#This Row],[Interest]],"")</f>
        <v/>
      </c>
      <c r="I26" s="5" t="str">
        <f ca="1">IF(PaymentSchedule3[[#This Row],[Payment number]]&lt;&gt;"",PaymentSchedule3[[#This Row],[Beginning
balance]]*(InterestRate/PaymentsPerYear),"")</f>
        <v/>
      </c>
      <c r="J26" s="5" t="str">
        <f ca="1">IF(PaymentSchedule3[[#This Row],[Payment number]]&lt;&gt;"",IF(PaymentSchedule3[[#This Row],[Scheduled payment]]+PaymentSchedule3[[#This Row],[Extra
payment]]&lt;=PaymentSchedule3[[#This Row],[Beginning
balance]],PaymentSchedule3[[#This Row],[Beginning
balance]]-PaymentSchedule3[[#This Row],[Principal]],0),"")</f>
        <v/>
      </c>
      <c r="K26" s="5" t="str">
        <f ca="1">IF(PaymentSchedule3[[#This Row],[Payment number]]&lt;&gt;"",SUM(INDEX(PaymentSchedule3[Interest],1,1):PaymentSchedule3[[#This Row],[Interest]]),"")</f>
        <v/>
      </c>
    </row>
    <row r="27" spans="2:11" ht="24" customHeight="1" x14ac:dyDescent="0.3">
      <c r="B27" s="21" t="str">
        <f ca="1">IF(LoanIsGood,IF(ROW()-ROW(PaymentSchedule3[[#Headers],[Payment number]])&gt;ScheduledNumberOfPayments,"",ROW()-ROW(PaymentSchedule3[[#Headers],[Payment number]])),"")</f>
        <v/>
      </c>
      <c r="C27" s="8" t="str">
        <f ca="1">IF(PaymentSchedule3[[#This Row],[Payment number]]&lt;&gt;"",EOMONTH(LoanStartDate,ROW(PaymentSchedule3[[#This Row],[Payment number]])-ROW(PaymentSchedule3[[#Headers],[Payment number]])-2)+DAY(LoanStartDate),"")</f>
        <v/>
      </c>
      <c r="D27" s="5" t="str">
        <f ca="1">IF(PaymentSchedule3[[#This Row],[Payment number]]&lt;&gt;"",IF(ROW()-ROW(PaymentSchedule3[[#Headers],[Beginning
balance]])=1,LoanAmount,INDEX(PaymentSchedule3[Ending
balance],ROW()-ROW(PaymentSchedule3[[#Headers],[Beginning
balance]])-1)),"")</f>
        <v/>
      </c>
      <c r="E27" s="5" t="str">
        <f ca="1">IF(PaymentSchedule3[[#This Row],[Payment number]]&lt;&gt;"",ScheduledPayment,"")</f>
        <v/>
      </c>
      <c r="F27" s="5"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27" s="5"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27" s="5" t="str">
        <f ca="1">IF(PaymentSchedule3[[#This Row],[Payment number]]&lt;&gt;"",PaymentSchedule3[[#This Row],[Total
payment]]-PaymentSchedule3[[#This Row],[Interest]],"")</f>
        <v/>
      </c>
      <c r="I27" s="5" t="str">
        <f ca="1">IF(PaymentSchedule3[[#This Row],[Payment number]]&lt;&gt;"",PaymentSchedule3[[#This Row],[Beginning
balance]]*(InterestRate/PaymentsPerYear),"")</f>
        <v/>
      </c>
      <c r="J27" s="5" t="str">
        <f ca="1">IF(PaymentSchedule3[[#This Row],[Payment number]]&lt;&gt;"",IF(PaymentSchedule3[[#This Row],[Scheduled payment]]+PaymentSchedule3[[#This Row],[Extra
payment]]&lt;=PaymentSchedule3[[#This Row],[Beginning
balance]],PaymentSchedule3[[#This Row],[Beginning
balance]]-PaymentSchedule3[[#This Row],[Principal]],0),"")</f>
        <v/>
      </c>
      <c r="K27" s="5" t="str">
        <f ca="1">IF(PaymentSchedule3[[#This Row],[Payment number]]&lt;&gt;"",SUM(INDEX(PaymentSchedule3[Interest],1,1):PaymentSchedule3[[#This Row],[Interest]]),"")</f>
        <v/>
      </c>
    </row>
    <row r="28" spans="2:11" ht="24" customHeight="1" x14ac:dyDescent="0.3">
      <c r="B28" s="21" t="str">
        <f ca="1">IF(LoanIsGood,IF(ROW()-ROW(PaymentSchedule3[[#Headers],[Payment number]])&gt;ScheduledNumberOfPayments,"",ROW()-ROW(PaymentSchedule3[[#Headers],[Payment number]])),"")</f>
        <v/>
      </c>
      <c r="C28" s="8" t="str">
        <f ca="1">IF(PaymentSchedule3[[#This Row],[Payment number]]&lt;&gt;"",EOMONTH(LoanStartDate,ROW(PaymentSchedule3[[#This Row],[Payment number]])-ROW(PaymentSchedule3[[#Headers],[Payment number]])-2)+DAY(LoanStartDate),"")</f>
        <v/>
      </c>
      <c r="D28" s="5" t="str">
        <f ca="1">IF(PaymentSchedule3[[#This Row],[Payment number]]&lt;&gt;"",IF(ROW()-ROW(PaymentSchedule3[[#Headers],[Beginning
balance]])=1,LoanAmount,INDEX(PaymentSchedule3[Ending
balance],ROW()-ROW(PaymentSchedule3[[#Headers],[Beginning
balance]])-1)),"")</f>
        <v/>
      </c>
      <c r="E28" s="5" t="str">
        <f ca="1">IF(PaymentSchedule3[[#This Row],[Payment number]]&lt;&gt;"",ScheduledPayment,"")</f>
        <v/>
      </c>
      <c r="F28" s="5"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28" s="5"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28" s="5" t="str">
        <f ca="1">IF(PaymentSchedule3[[#This Row],[Payment number]]&lt;&gt;"",PaymentSchedule3[[#This Row],[Total
payment]]-PaymentSchedule3[[#This Row],[Interest]],"")</f>
        <v/>
      </c>
      <c r="I28" s="5" t="str">
        <f ca="1">IF(PaymentSchedule3[[#This Row],[Payment number]]&lt;&gt;"",PaymentSchedule3[[#This Row],[Beginning
balance]]*(InterestRate/PaymentsPerYear),"")</f>
        <v/>
      </c>
      <c r="J28" s="5" t="str">
        <f ca="1">IF(PaymentSchedule3[[#This Row],[Payment number]]&lt;&gt;"",IF(PaymentSchedule3[[#This Row],[Scheduled payment]]+PaymentSchedule3[[#This Row],[Extra
payment]]&lt;=PaymentSchedule3[[#This Row],[Beginning
balance]],PaymentSchedule3[[#This Row],[Beginning
balance]]-PaymentSchedule3[[#This Row],[Principal]],0),"")</f>
        <v/>
      </c>
      <c r="K28" s="5" t="str">
        <f ca="1">IF(PaymentSchedule3[[#This Row],[Payment number]]&lt;&gt;"",SUM(INDEX(PaymentSchedule3[Interest],1,1):PaymentSchedule3[[#This Row],[Interest]]),"")</f>
        <v/>
      </c>
    </row>
    <row r="29" spans="2:11" ht="24" customHeight="1" x14ac:dyDescent="0.3">
      <c r="B29" s="21" t="str">
        <f ca="1">IF(LoanIsGood,IF(ROW()-ROW(PaymentSchedule3[[#Headers],[Payment number]])&gt;ScheduledNumberOfPayments,"",ROW()-ROW(PaymentSchedule3[[#Headers],[Payment number]])),"")</f>
        <v/>
      </c>
      <c r="C29" s="8" t="str">
        <f ca="1">IF(PaymentSchedule3[[#This Row],[Payment number]]&lt;&gt;"",EOMONTH(LoanStartDate,ROW(PaymentSchedule3[[#This Row],[Payment number]])-ROW(PaymentSchedule3[[#Headers],[Payment number]])-2)+DAY(LoanStartDate),"")</f>
        <v/>
      </c>
      <c r="D29" s="5" t="str">
        <f ca="1">IF(PaymentSchedule3[[#This Row],[Payment number]]&lt;&gt;"",IF(ROW()-ROW(PaymentSchedule3[[#Headers],[Beginning
balance]])=1,LoanAmount,INDEX(PaymentSchedule3[Ending
balance],ROW()-ROW(PaymentSchedule3[[#Headers],[Beginning
balance]])-1)),"")</f>
        <v/>
      </c>
      <c r="E29" s="5" t="str">
        <f ca="1">IF(PaymentSchedule3[[#This Row],[Payment number]]&lt;&gt;"",ScheduledPayment,"")</f>
        <v/>
      </c>
      <c r="F29" s="5"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29" s="5"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29" s="5" t="str">
        <f ca="1">IF(PaymentSchedule3[[#This Row],[Payment number]]&lt;&gt;"",PaymentSchedule3[[#This Row],[Total
payment]]-PaymentSchedule3[[#This Row],[Interest]],"")</f>
        <v/>
      </c>
      <c r="I29" s="5" t="str">
        <f ca="1">IF(PaymentSchedule3[[#This Row],[Payment number]]&lt;&gt;"",PaymentSchedule3[[#This Row],[Beginning
balance]]*(InterestRate/PaymentsPerYear),"")</f>
        <v/>
      </c>
      <c r="J29" s="5" t="str">
        <f ca="1">IF(PaymentSchedule3[[#This Row],[Payment number]]&lt;&gt;"",IF(PaymentSchedule3[[#This Row],[Scheduled payment]]+PaymentSchedule3[[#This Row],[Extra
payment]]&lt;=PaymentSchedule3[[#This Row],[Beginning
balance]],PaymentSchedule3[[#This Row],[Beginning
balance]]-PaymentSchedule3[[#This Row],[Principal]],0),"")</f>
        <v/>
      </c>
      <c r="K29" s="5" t="str">
        <f ca="1">IF(PaymentSchedule3[[#This Row],[Payment number]]&lt;&gt;"",SUM(INDEX(PaymentSchedule3[Interest],1,1):PaymentSchedule3[[#This Row],[Interest]]),"")</f>
        <v/>
      </c>
    </row>
    <row r="30" spans="2:11" ht="24" customHeight="1" x14ac:dyDescent="0.3">
      <c r="B30" s="21" t="str">
        <f ca="1">IF(LoanIsGood,IF(ROW()-ROW(PaymentSchedule3[[#Headers],[Payment number]])&gt;ScheduledNumberOfPayments,"",ROW()-ROW(PaymentSchedule3[[#Headers],[Payment number]])),"")</f>
        <v/>
      </c>
      <c r="C30" s="8" t="str">
        <f ca="1">IF(PaymentSchedule3[[#This Row],[Payment number]]&lt;&gt;"",EOMONTH(LoanStartDate,ROW(PaymentSchedule3[[#This Row],[Payment number]])-ROW(PaymentSchedule3[[#Headers],[Payment number]])-2)+DAY(LoanStartDate),"")</f>
        <v/>
      </c>
      <c r="D30" s="5" t="str">
        <f ca="1">IF(PaymentSchedule3[[#This Row],[Payment number]]&lt;&gt;"",IF(ROW()-ROW(PaymentSchedule3[[#Headers],[Beginning
balance]])=1,LoanAmount,INDEX(PaymentSchedule3[Ending
balance],ROW()-ROW(PaymentSchedule3[[#Headers],[Beginning
balance]])-1)),"")</f>
        <v/>
      </c>
      <c r="E30" s="5" t="str">
        <f ca="1">IF(PaymentSchedule3[[#This Row],[Payment number]]&lt;&gt;"",ScheduledPayment,"")</f>
        <v/>
      </c>
      <c r="F30" s="5"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30" s="5"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30" s="5" t="str">
        <f ca="1">IF(PaymentSchedule3[[#This Row],[Payment number]]&lt;&gt;"",PaymentSchedule3[[#This Row],[Total
payment]]-PaymentSchedule3[[#This Row],[Interest]],"")</f>
        <v/>
      </c>
      <c r="I30" s="5" t="str">
        <f ca="1">IF(PaymentSchedule3[[#This Row],[Payment number]]&lt;&gt;"",PaymentSchedule3[[#This Row],[Beginning
balance]]*(InterestRate/PaymentsPerYear),"")</f>
        <v/>
      </c>
      <c r="J30" s="5" t="str">
        <f ca="1">IF(PaymentSchedule3[[#This Row],[Payment number]]&lt;&gt;"",IF(PaymentSchedule3[[#This Row],[Scheduled payment]]+PaymentSchedule3[[#This Row],[Extra
payment]]&lt;=PaymentSchedule3[[#This Row],[Beginning
balance]],PaymentSchedule3[[#This Row],[Beginning
balance]]-PaymentSchedule3[[#This Row],[Principal]],0),"")</f>
        <v/>
      </c>
      <c r="K30" s="5" t="str">
        <f ca="1">IF(PaymentSchedule3[[#This Row],[Payment number]]&lt;&gt;"",SUM(INDEX(PaymentSchedule3[Interest],1,1):PaymentSchedule3[[#This Row],[Interest]]),"")</f>
        <v/>
      </c>
    </row>
    <row r="31" spans="2:11" ht="24" customHeight="1" x14ac:dyDescent="0.3">
      <c r="B31" s="21" t="str">
        <f ca="1">IF(LoanIsGood,IF(ROW()-ROW(PaymentSchedule3[[#Headers],[Payment number]])&gt;ScheduledNumberOfPayments,"",ROW()-ROW(PaymentSchedule3[[#Headers],[Payment number]])),"")</f>
        <v/>
      </c>
      <c r="C31" s="8" t="str">
        <f ca="1">IF(PaymentSchedule3[[#This Row],[Payment number]]&lt;&gt;"",EOMONTH(LoanStartDate,ROW(PaymentSchedule3[[#This Row],[Payment number]])-ROW(PaymentSchedule3[[#Headers],[Payment number]])-2)+DAY(LoanStartDate),"")</f>
        <v/>
      </c>
      <c r="D31" s="5" t="str">
        <f ca="1">IF(PaymentSchedule3[[#This Row],[Payment number]]&lt;&gt;"",IF(ROW()-ROW(PaymentSchedule3[[#Headers],[Beginning
balance]])=1,LoanAmount,INDEX(PaymentSchedule3[Ending
balance],ROW()-ROW(PaymentSchedule3[[#Headers],[Beginning
balance]])-1)),"")</f>
        <v/>
      </c>
      <c r="E31" s="5" t="str">
        <f ca="1">IF(PaymentSchedule3[[#This Row],[Payment number]]&lt;&gt;"",ScheduledPayment,"")</f>
        <v/>
      </c>
      <c r="F31" s="5"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31" s="5"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31" s="5" t="str">
        <f ca="1">IF(PaymentSchedule3[[#This Row],[Payment number]]&lt;&gt;"",PaymentSchedule3[[#This Row],[Total
payment]]-PaymentSchedule3[[#This Row],[Interest]],"")</f>
        <v/>
      </c>
      <c r="I31" s="5" t="str">
        <f ca="1">IF(PaymentSchedule3[[#This Row],[Payment number]]&lt;&gt;"",PaymentSchedule3[[#This Row],[Beginning
balance]]*(InterestRate/PaymentsPerYear),"")</f>
        <v/>
      </c>
      <c r="J31" s="5" t="str">
        <f ca="1">IF(PaymentSchedule3[[#This Row],[Payment number]]&lt;&gt;"",IF(PaymentSchedule3[[#This Row],[Scheduled payment]]+PaymentSchedule3[[#This Row],[Extra
payment]]&lt;=PaymentSchedule3[[#This Row],[Beginning
balance]],PaymentSchedule3[[#This Row],[Beginning
balance]]-PaymentSchedule3[[#This Row],[Principal]],0),"")</f>
        <v/>
      </c>
      <c r="K31" s="5" t="str">
        <f ca="1">IF(PaymentSchedule3[[#This Row],[Payment number]]&lt;&gt;"",SUM(INDEX(PaymentSchedule3[Interest],1,1):PaymentSchedule3[[#This Row],[Interest]]),"")</f>
        <v/>
      </c>
    </row>
    <row r="32" spans="2:11" ht="24" customHeight="1" x14ac:dyDescent="0.3">
      <c r="B32" s="31" t="str">
        <f ca="1">IF(LoanIsGood,IF(ROW()-ROW(PaymentSchedule3[[#Headers],[Payment number]])&gt;ScheduledNumberOfPayments,"",ROW()-ROW(PaymentSchedule3[[#Headers],[Payment number]])),"")</f>
        <v/>
      </c>
      <c r="C32" s="32" t="str">
        <f ca="1">IF(PaymentSchedule3[[#This Row],[Payment number]]&lt;&gt;"",EOMONTH(LoanStartDate,ROW(PaymentSchedule3[[#This Row],[Payment number]])-ROW(PaymentSchedule3[[#Headers],[Payment number]])-2)+DAY(LoanStartDate),"")</f>
        <v/>
      </c>
      <c r="D32" s="33" t="str">
        <f ca="1">IF(PaymentSchedule3[[#This Row],[Payment number]]&lt;&gt;"",IF(ROW()-ROW(PaymentSchedule3[[#Headers],[Beginning
balance]])=1,LoanAmount,INDEX(PaymentSchedule3[Ending
balance],ROW()-ROW(PaymentSchedule3[[#Headers],[Beginning
balance]])-1)),"")</f>
        <v/>
      </c>
      <c r="E32" s="33" t="str">
        <f ca="1">IF(PaymentSchedule3[[#This Row],[Payment number]]&lt;&gt;"",ScheduledPayment,"")</f>
        <v/>
      </c>
      <c r="F32"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32"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32" s="33" t="str">
        <f ca="1">IF(PaymentSchedule3[[#This Row],[Payment number]]&lt;&gt;"",PaymentSchedule3[[#This Row],[Total
payment]]-PaymentSchedule3[[#This Row],[Interest]],"")</f>
        <v/>
      </c>
      <c r="I32" s="33" t="str">
        <f ca="1">IF(PaymentSchedule3[[#This Row],[Payment number]]&lt;&gt;"",PaymentSchedule3[[#This Row],[Beginning
balance]]*(InterestRate/PaymentsPerYear),"")</f>
        <v/>
      </c>
      <c r="J32" s="33" t="str">
        <f ca="1">IF(PaymentSchedule3[[#This Row],[Payment number]]&lt;&gt;"",IF(PaymentSchedule3[[#This Row],[Scheduled payment]]+PaymentSchedule3[[#This Row],[Extra
payment]]&lt;=PaymentSchedule3[[#This Row],[Beginning
balance]],PaymentSchedule3[[#This Row],[Beginning
balance]]-PaymentSchedule3[[#This Row],[Principal]],0),"")</f>
        <v/>
      </c>
      <c r="K32" s="33" t="str">
        <f ca="1">IF(PaymentSchedule3[[#This Row],[Payment number]]&lt;&gt;"",SUM(INDEX(PaymentSchedule3[Interest],1,1):PaymentSchedule3[[#This Row],[Interest]]),"")</f>
        <v/>
      </c>
    </row>
    <row r="33" spans="2:11" ht="24" customHeight="1" x14ac:dyDescent="0.3">
      <c r="B33" s="31" t="str">
        <f ca="1">IF(LoanIsGood,IF(ROW()-ROW(PaymentSchedule3[[#Headers],[Payment number]])&gt;ScheduledNumberOfPayments,"",ROW()-ROW(PaymentSchedule3[[#Headers],[Payment number]])),"")</f>
        <v/>
      </c>
      <c r="C33" s="32" t="str">
        <f ca="1">IF(PaymentSchedule3[[#This Row],[Payment number]]&lt;&gt;"",EOMONTH(LoanStartDate,ROW(PaymentSchedule3[[#This Row],[Payment number]])-ROW(PaymentSchedule3[[#Headers],[Payment number]])-2)+DAY(LoanStartDate),"")</f>
        <v/>
      </c>
      <c r="D33" s="33" t="str">
        <f ca="1">IF(PaymentSchedule3[[#This Row],[Payment number]]&lt;&gt;"",IF(ROW()-ROW(PaymentSchedule3[[#Headers],[Beginning
balance]])=1,LoanAmount,INDEX(PaymentSchedule3[Ending
balance],ROW()-ROW(PaymentSchedule3[[#Headers],[Beginning
balance]])-1)),"")</f>
        <v/>
      </c>
      <c r="E33" s="33" t="str">
        <f ca="1">IF(PaymentSchedule3[[#This Row],[Payment number]]&lt;&gt;"",ScheduledPayment,"")</f>
        <v/>
      </c>
      <c r="F33"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33"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33" s="33" t="str">
        <f ca="1">IF(PaymentSchedule3[[#This Row],[Payment number]]&lt;&gt;"",PaymentSchedule3[[#This Row],[Total
payment]]-PaymentSchedule3[[#This Row],[Interest]],"")</f>
        <v/>
      </c>
      <c r="I33" s="33" t="str">
        <f ca="1">IF(PaymentSchedule3[[#This Row],[Payment number]]&lt;&gt;"",PaymentSchedule3[[#This Row],[Beginning
balance]]*(InterestRate/PaymentsPerYear),"")</f>
        <v/>
      </c>
      <c r="J33" s="33" t="str">
        <f ca="1">IF(PaymentSchedule3[[#This Row],[Payment number]]&lt;&gt;"",IF(PaymentSchedule3[[#This Row],[Scheduled payment]]+PaymentSchedule3[[#This Row],[Extra
payment]]&lt;=PaymentSchedule3[[#This Row],[Beginning
balance]],PaymentSchedule3[[#This Row],[Beginning
balance]]-PaymentSchedule3[[#This Row],[Principal]],0),"")</f>
        <v/>
      </c>
      <c r="K33" s="33" t="str">
        <f ca="1">IF(PaymentSchedule3[[#This Row],[Payment number]]&lt;&gt;"",SUM(INDEX(PaymentSchedule3[Interest],1,1):PaymentSchedule3[[#This Row],[Interest]]),"")</f>
        <v/>
      </c>
    </row>
    <row r="34" spans="2:11" ht="24" customHeight="1" x14ac:dyDescent="0.3">
      <c r="B34" s="31" t="str">
        <f ca="1">IF(LoanIsGood,IF(ROW()-ROW(PaymentSchedule3[[#Headers],[Payment number]])&gt;ScheduledNumberOfPayments,"",ROW()-ROW(PaymentSchedule3[[#Headers],[Payment number]])),"")</f>
        <v/>
      </c>
      <c r="C34" s="32" t="str">
        <f ca="1">IF(PaymentSchedule3[[#This Row],[Payment number]]&lt;&gt;"",EOMONTH(LoanStartDate,ROW(PaymentSchedule3[[#This Row],[Payment number]])-ROW(PaymentSchedule3[[#Headers],[Payment number]])-2)+DAY(LoanStartDate),"")</f>
        <v/>
      </c>
      <c r="D34" s="33" t="str">
        <f ca="1">IF(PaymentSchedule3[[#This Row],[Payment number]]&lt;&gt;"",IF(ROW()-ROW(PaymentSchedule3[[#Headers],[Beginning
balance]])=1,LoanAmount,INDEX(PaymentSchedule3[Ending
balance],ROW()-ROW(PaymentSchedule3[[#Headers],[Beginning
balance]])-1)),"")</f>
        <v/>
      </c>
      <c r="E34" s="33" t="str">
        <f ca="1">IF(PaymentSchedule3[[#This Row],[Payment number]]&lt;&gt;"",ScheduledPayment,"")</f>
        <v/>
      </c>
      <c r="F34"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34"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34" s="33" t="str">
        <f ca="1">IF(PaymentSchedule3[[#This Row],[Payment number]]&lt;&gt;"",PaymentSchedule3[[#This Row],[Total
payment]]-PaymentSchedule3[[#This Row],[Interest]],"")</f>
        <v/>
      </c>
      <c r="I34" s="33" t="str">
        <f ca="1">IF(PaymentSchedule3[[#This Row],[Payment number]]&lt;&gt;"",PaymentSchedule3[[#This Row],[Beginning
balance]]*(InterestRate/PaymentsPerYear),"")</f>
        <v/>
      </c>
      <c r="J34" s="33" t="str">
        <f ca="1">IF(PaymentSchedule3[[#This Row],[Payment number]]&lt;&gt;"",IF(PaymentSchedule3[[#This Row],[Scheduled payment]]+PaymentSchedule3[[#This Row],[Extra
payment]]&lt;=PaymentSchedule3[[#This Row],[Beginning
balance]],PaymentSchedule3[[#This Row],[Beginning
balance]]-PaymentSchedule3[[#This Row],[Principal]],0),"")</f>
        <v/>
      </c>
      <c r="K34" s="33" t="str">
        <f ca="1">IF(PaymentSchedule3[[#This Row],[Payment number]]&lt;&gt;"",SUM(INDEX(PaymentSchedule3[Interest],1,1):PaymentSchedule3[[#This Row],[Interest]]),"")</f>
        <v/>
      </c>
    </row>
    <row r="35" spans="2:11" ht="24" customHeight="1" x14ac:dyDescent="0.3">
      <c r="B35" s="31" t="str">
        <f ca="1">IF(LoanIsGood,IF(ROW()-ROW(PaymentSchedule3[[#Headers],[Payment number]])&gt;ScheduledNumberOfPayments,"",ROW()-ROW(PaymentSchedule3[[#Headers],[Payment number]])),"")</f>
        <v/>
      </c>
      <c r="C35" s="32" t="str">
        <f ca="1">IF(PaymentSchedule3[[#This Row],[Payment number]]&lt;&gt;"",EOMONTH(LoanStartDate,ROW(PaymentSchedule3[[#This Row],[Payment number]])-ROW(PaymentSchedule3[[#Headers],[Payment number]])-2)+DAY(LoanStartDate),"")</f>
        <v/>
      </c>
      <c r="D35" s="33" t="str">
        <f ca="1">IF(PaymentSchedule3[[#This Row],[Payment number]]&lt;&gt;"",IF(ROW()-ROW(PaymentSchedule3[[#Headers],[Beginning
balance]])=1,LoanAmount,INDEX(PaymentSchedule3[Ending
balance],ROW()-ROW(PaymentSchedule3[[#Headers],[Beginning
balance]])-1)),"")</f>
        <v/>
      </c>
      <c r="E35" s="33" t="str">
        <f ca="1">IF(PaymentSchedule3[[#This Row],[Payment number]]&lt;&gt;"",ScheduledPayment,"")</f>
        <v/>
      </c>
      <c r="F35"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35"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35" s="33" t="str">
        <f ca="1">IF(PaymentSchedule3[[#This Row],[Payment number]]&lt;&gt;"",PaymentSchedule3[[#This Row],[Total
payment]]-PaymentSchedule3[[#This Row],[Interest]],"")</f>
        <v/>
      </c>
      <c r="I35" s="33" t="str">
        <f ca="1">IF(PaymentSchedule3[[#This Row],[Payment number]]&lt;&gt;"",PaymentSchedule3[[#This Row],[Beginning
balance]]*(InterestRate/PaymentsPerYear),"")</f>
        <v/>
      </c>
      <c r="J35" s="33" t="str">
        <f ca="1">IF(PaymentSchedule3[[#This Row],[Payment number]]&lt;&gt;"",IF(PaymentSchedule3[[#This Row],[Scheduled payment]]+PaymentSchedule3[[#This Row],[Extra
payment]]&lt;=PaymentSchedule3[[#This Row],[Beginning
balance]],PaymentSchedule3[[#This Row],[Beginning
balance]]-PaymentSchedule3[[#This Row],[Principal]],0),"")</f>
        <v/>
      </c>
      <c r="K35" s="33" t="str">
        <f ca="1">IF(PaymentSchedule3[[#This Row],[Payment number]]&lt;&gt;"",SUM(INDEX(PaymentSchedule3[Interest],1,1):PaymentSchedule3[[#This Row],[Interest]]),"")</f>
        <v/>
      </c>
    </row>
    <row r="36" spans="2:11" ht="24" customHeight="1" x14ac:dyDescent="0.3">
      <c r="B36" s="31" t="str">
        <f ca="1">IF(LoanIsGood,IF(ROW()-ROW(PaymentSchedule3[[#Headers],[Payment number]])&gt;ScheduledNumberOfPayments,"",ROW()-ROW(PaymentSchedule3[[#Headers],[Payment number]])),"")</f>
        <v/>
      </c>
      <c r="C36" s="32" t="str">
        <f ca="1">IF(PaymentSchedule3[[#This Row],[Payment number]]&lt;&gt;"",EOMONTH(LoanStartDate,ROW(PaymentSchedule3[[#This Row],[Payment number]])-ROW(PaymentSchedule3[[#Headers],[Payment number]])-2)+DAY(LoanStartDate),"")</f>
        <v/>
      </c>
      <c r="D36" s="33" t="str">
        <f ca="1">IF(PaymentSchedule3[[#This Row],[Payment number]]&lt;&gt;"",IF(ROW()-ROW(PaymentSchedule3[[#Headers],[Beginning
balance]])=1,LoanAmount,INDEX(PaymentSchedule3[Ending
balance],ROW()-ROW(PaymentSchedule3[[#Headers],[Beginning
balance]])-1)),"")</f>
        <v/>
      </c>
      <c r="E36" s="33" t="str">
        <f ca="1">IF(PaymentSchedule3[[#This Row],[Payment number]]&lt;&gt;"",ScheduledPayment,"")</f>
        <v/>
      </c>
      <c r="F36"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36"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36" s="33" t="str">
        <f ca="1">IF(PaymentSchedule3[[#This Row],[Payment number]]&lt;&gt;"",PaymentSchedule3[[#This Row],[Total
payment]]-PaymentSchedule3[[#This Row],[Interest]],"")</f>
        <v/>
      </c>
      <c r="I36" s="33" t="str">
        <f ca="1">IF(PaymentSchedule3[[#This Row],[Payment number]]&lt;&gt;"",PaymentSchedule3[[#This Row],[Beginning
balance]]*(InterestRate/PaymentsPerYear),"")</f>
        <v/>
      </c>
      <c r="J36" s="33" t="str">
        <f ca="1">IF(PaymentSchedule3[[#This Row],[Payment number]]&lt;&gt;"",IF(PaymentSchedule3[[#This Row],[Scheduled payment]]+PaymentSchedule3[[#This Row],[Extra
payment]]&lt;=PaymentSchedule3[[#This Row],[Beginning
balance]],PaymentSchedule3[[#This Row],[Beginning
balance]]-PaymentSchedule3[[#This Row],[Principal]],0),"")</f>
        <v/>
      </c>
      <c r="K36" s="33" t="str">
        <f ca="1">IF(PaymentSchedule3[[#This Row],[Payment number]]&lt;&gt;"",SUM(INDEX(PaymentSchedule3[Interest],1,1):PaymentSchedule3[[#This Row],[Interest]]),"")</f>
        <v/>
      </c>
    </row>
    <row r="37" spans="2:11" ht="24" customHeight="1" x14ac:dyDescent="0.3">
      <c r="B37" s="31" t="str">
        <f ca="1">IF(LoanIsGood,IF(ROW()-ROW(PaymentSchedule3[[#Headers],[Payment number]])&gt;ScheduledNumberOfPayments,"",ROW()-ROW(PaymentSchedule3[[#Headers],[Payment number]])),"")</f>
        <v/>
      </c>
      <c r="C37" s="32" t="str">
        <f ca="1">IF(PaymentSchedule3[[#This Row],[Payment number]]&lt;&gt;"",EOMONTH(LoanStartDate,ROW(PaymentSchedule3[[#This Row],[Payment number]])-ROW(PaymentSchedule3[[#Headers],[Payment number]])-2)+DAY(LoanStartDate),"")</f>
        <v/>
      </c>
      <c r="D37" s="33" t="str">
        <f ca="1">IF(PaymentSchedule3[[#This Row],[Payment number]]&lt;&gt;"",IF(ROW()-ROW(PaymentSchedule3[[#Headers],[Beginning
balance]])=1,LoanAmount,INDEX(PaymentSchedule3[Ending
balance],ROW()-ROW(PaymentSchedule3[[#Headers],[Beginning
balance]])-1)),"")</f>
        <v/>
      </c>
      <c r="E37" s="33" t="str">
        <f ca="1">IF(PaymentSchedule3[[#This Row],[Payment number]]&lt;&gt;"",ScheduledPayment,"")</f>
        <v/>
      </c>
      <c r="F37"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37"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37" s="33" t="str">
        <f ca="1">IF(PaymentSchedule3[[#This Row],[Payment number]]&lt;&gt;"",PaymentSchedule3[[#This Row],[Total
payment]]-PaymentSchedule3[[#This Row],[Interest]],"")</f>
        <v/>
      </c>
      <c r="I37" s="33" t="str">
        <f ca="1">IF(PaymentSchedule3[[#This Row],[Payment number]]&lt;&gt;"",PaymentSchedule3[[#This Row],[Beginning
balance]]*(InterestRate/PaymentsPerYear),"")</f>
        <v/>
      </c>
      <c r="J37" s="33" t="str">
        <f ca="1">IF(PaymentSchedule3[[#This Row],[Payment number]]&lt;&gt;"",IF(PaymentSchedule3[[#This Row],[Scheduled payment]]+PaymentSchedule3[[#This Row],[Extra
payment]]&lt;=PaymentSchedule3[[#This Row],[Beginning
balance]],PaymentSchedule3[[#This Row],[Beginning
balance]]-PaymentSchedule3[[#This Row],[Principal]],0),"")</f>
        <v/>
      </c>
      <c r="K37" s="33" t="str">
        <f ca="1">IF(PaymentSchedule3[[#This Row],[Payment number]]&lt;&gt;"",SUM(INDEX(PaymentSchedule3[Interest],1,1):PaymentSchedule3[[#This Row],[Interest]]),"")</f>
        <v/>
      </c>
    </row>
    <row r="38" spans="2:11" ht="24" customHeight="1" x14ac:dyDescent="0.3">
      <c r="B38" s="31" t="str">
        <f ca="1">IF(LoanIsGood,IF(ROW()-ROW(PaymentSchedule3[[#Headers],[Payment number]])&gt;ScheduledNumberOfPayments,"",ROW()-ROW(PaymentSchedule3[[#Headers],[Payment number]])),"")</f>
        <v/>
      </c>
      <c r="C38" s="32" t="str">
        <f ca="1">IF(PaymentSchedule3[[#This Row],[Payment number]]&lt;&gt;"",EOMONTH(LoanStartDate,ROW(PaymentSchedule3[[#This Row],[Payment number]])-ROW(PaymentSchedule3[[#Headers],[Payment number]])-2)+DAY(LoanStartDate),"")</f>
        <v/>
      </c>
      <c r="D38" s="33" t="str">
        <f ca="1">IF(PaymentSchedule3[[#This Row],[Payment number]]&lt;&gt;"",IF(ROW()-ROW(PaymentSchedule3[[#Headers],[Beginning
balance]])=1,LoanAmount,INDEX(PaymentSchedule3[Ending
balance],ROW()-ROW(PaymentSchedule3[[#Headers],[Beginning
balance]])-1)),"")</f>
        <v/>
      </c>
      <c r="E38" s="33" t="str">
        <f ca="1">IF(PaymentSchedule3[[#This Row],[Payment number]]&lt;&gt;"",ScheduledPayment,"")</f>
        <v/>
      </c>
      <c r="F38"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38"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38" s="33" t="str">
        <f ca="1">IF(PaymentSchedule3[[#This Row],[Payment number]]&lt;&gt;"",PaymentSchedule3[[#This Row],[Total
payment]]-PaymentSchedule3[[#This Row],[Interest]],"")</f>
        <v/>
      </c>
      <c r="I38" s="33" t="str">
        <f ca="1">IF(PaymentSchedule3[[#This Row],[Payment number]]&lt;&gt;"",PaymentSchedule3[[#This Row],[Beginning
balance]]*(InterestRate/PaymentsPerYear),"")</f>
        <v/>
      </c>
      <c r="J38" s="33" t="str">
        <f ca="1">IF(PaymentSchedule3[[#This Row],[Payment number]]&lt;&gt;"",IF(PaymentSchedule3[[#This Row],[Scheduled payment]]+PaymentSchedule3[[#This Row],[Extra
payment]]&lt;=PaymentSchedule3[[#This Row],[Beginning
balance]],PaymentSchedule3[[#This Row],[Beginning
balance]]-PaymentSchedule3[[#This Row],[Principal]],0),"")</f>
        <v/>
      </c>
      <c r="K38" s="33" t="str">
        <f ca="1">IF(PaymentSchedule3[[#This Row],[Payment number]]&lt;&gt;"",SUM(INDEX(PaymentSchedule3[Interest],1,1):PaymentSchedule3[[#This Row],[Interest]]),"")</f>
        <v/>
      </c>
    </row>
    <row r="39" spans="2:11" ht="24" customHeight="1" x14ac:dyDescent="0.3">
      <c r="B39" s="31" t="str">
        <f ca="1">IF(LoanIsGood,IF(ROW()-ROW(PaymentSchedule3[[#Headers],[Payment number]])&gt;ScheduledNumberOfPayments,"",ROW()-ROW(PaymentSchedule3[[#Headers],[Payment number]])),"")</f>
        <v/>
      </c>
      <c r="C39" s="32" t="str">
        <f ca="1">IF(PaymentSchedule3[[#This Row],[Payment number]]&lt;&gt;"",EOMONTH(LoanStartDate,ROW(PaymentSchedule3[[#This Row],[Payment number]])-ROW(PaymentSchedule3[[#Headers],[Payment number]])-2)+DAY(LoanStartDate),"")</f>
        <v/>
      </c>
      <c r="D39" s="33" t="str">
        <f ca="1">IF(PaymentSchedule3[[#This Row],[Payment number]]&lt;&gt;"",IF(ROW()-ROW(PaymentSchedule3[[#Headers],[Beginning
balance]])=1,LoanAmount,INDEX(PaymentSchedule3[Ending
balance],ROW()-ROW(PaymentSchedule3[[#Headers],[Beginning
balance]])-1)),"")</f>
        <v/>
      </c>
      <c r="E39" s="33" t="str">
        <f ca="1">IF(PaymentSchedule3[[#This Row],[Payment number]]&lt;&gt;"",ScheduledPayment,"")</f>
        <v/>
      </c>
      <c r="F39"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39"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39" s="33" t="str">
        <f ca="1">IF(PaymentSchedule3[[#This Row],[Payment number]]&lt;&gt;"",PaymentSchedule3[[#This Row],[Total
payment]]-PaymentSchedule3[[#This Row],[Interest]],"")</f>
        <v/>
      </c>
      <c r="I39" s="33" t="str">
        <f ca="1">IF(PaymentSchedule3[[#This Row],[Payment number]]&lt;&gt;"",PaymentSchedule3[[#This Row],[Beginning
balance]]*(InterestRate/PaymentsPerYear),"")</f>
        <v/>
      </c>
      <c r="J39" s="33" t="str">
        <f ca="1">IF(PaymentSchedule3[[#This Row],[Payment number]]&lt;&gt;"",IF(PaymentSchedule3[[#This Row],[Scheduled payment]]+PaymentSchedule3[[#This Row],[Extra
payment]]&lt;=PaymentSchedule3[[#This Row],[Beginning
balance]],PaymentSchedule3[[#This Row],[Beginning
balance]]-PaymentSchedule3[[#This Row],[Principal]],0),"")</f>
        <v/>
      </c>
      <c r="K39" s="33" t="str">
        <f ca="1">IF(PaymentSchedule3[[#This Row],[Payment number]]&lt;&gt;"",SUM(INDEX(PaymentSchedule3[Interest],1,1):PaymentSchedule3[[#This Row],[Interest]]),"")</f>
        <v/>
      </c>
    </row>
    <row r="40" spans="2:11" ht="24" customHeight="1" x14ac:dyDescent="0.3">
      <c r="B40" s="31" t="str">
        <f ca="1">IF(LoanIsGood,IF(ROW()-ROW(PaymentSchedule3[[#Headers],[Payment number]])&gt;ScheduledNumberOfPayments,"",ROW()-ROW(PaymentSchedule3[[#Headers],[Payment number]])),"")</f>
        <v/>
      </c>
      <c r="C40" s="32" t="str">
        <f ca="1">IF(PaymentSchedule3[[#This Row],[Payment number]]&lt;&gt;"",EOMONTH(LoanStartDate,ROW(PaymentSchedule3[[#This Row],[Payment number]])-ROW(PaymentSchedule3[[#Headers],[Payment number]])-2)+DAY(LoanStartDate),"")</f>
        <v/>
      </c>
      <c r="D40" s="33" t="str">
        <f ca="1">IF(PaymentSchedule3[[#This Row],[Payment number]]&lt;&gt;"",IF(ROW()-ROW(PaymentSchedule3[[#Headers],[Beginning
balance]])=1,LoanAmount,INDEX(PaymentSchedule3[Ending
balance],ROW()-ROW(PaymentSchedule3[[#Headers],[Beginning
balance]])-1)),"")</f>
        <v/>
      </c>
      <c r="E40" s="33" t="str">
        <f ca="1">IF(PaymentSchedule3[[#This Row],[Payment number]]&lt;&gt;"",ScheduledPayment,"")</f>
        <v/>
      </c>
      <c r="F40"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40"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40" s="33" t="str">
        <f ca="1">IF(PaymentSchedule3[[#This Row],[Payment number]]&lt;&gt;"",PaymentSchedule3[[#This Row],[Total
payment]]-PaymentSchedule3[[#This Row],[Interest]],"")</f>
        <v/>
      </c>
      <c r="I40" s="33" t="str">
        <f ca="1">IF(PaymentSchedule3[[#This Row],[Payment number]]&lt;&gt;"",PaymentSchedule3[[#This Row],[Beginning
balance]]*(InterestRate/PaymentsPerYear),"")</f>
        <v/>
      </c>
      <c r="J40" s="33" t="str">
        <f ca="1">IF(PaymentSchedule3[[#This Row],[Payment number]]&lt;&gt;"",IF(PaymentSchedule3[[#This Row],[Scheduled payment]]+PaymentSchedule3[[#This Row],[Extra
payment]]&lt;=PaymentSchedule3[[#This Row],[Beginning
balance]],PaymentSchedule3[[#This Row],[Beginning
balance]]-PaymentSchedule3[[#This Row],[Principal]],0),"")</f>
        <v/>
      </c>
      <c r="K40" s="33" t="str">
        <f ca="1">IF(PaymentSchedule3[[#This Row],[Payment number]]&lt;&gt;"",SUM(INDEX(PaymentSchedule3[Interest],1,1):PaymentSchedule3[[#This Row],[Interest]]),"")</f>
        <v/>
      </c>
    </row>
    <row r="41" spans="2:11" ht="24" customHeight="1" x14ac:dyDescent="0.3">
      <c r="B41" s="31" t="str">
        <f ca="1">IF(LoanIsGood,IF(ROW()-ROW(PaymentSchedule3[[#Headers],[Payment number]])&gt;ScheduledNumberOfPayments,"",ROW()-ROW(PaymentSchedule3[[#Headers],[Payment number]])),"")</f>
        <v/>
      </c>
      <c r="C41" s="32" t="str">
        <f ca="1">IF(PaymentSchedule3[[#This Row],[Payment number]]&lt;&gt;"",EOMONTH(LoanStartDate,ROW(PaymentSchedule3[[#This Row],[Payment number]])-ROW(PaymentSchedule3[[#Headers],[Payment number]])-2)+DAY(LoanStartDate),"")</f>
        <v/>
      </c>
      <c r="D41" s="33" t="str">
        <f ca="1">IF(PaymentSchedule3[[#This Row],[Payment number]]&lt;&gt;"",IF(ROW()-ROW(PaymentSchedule3[[#Headers],[Beginning
balance]])=1,LoanAmount,INDEX(PaymentSchedule3[Ending
balance],ROW()-ROW(PaymentSchedule3[[#Headers],[Beginning
balance]])-1)),"")</f>
        <v/>
      </c>
      <c r="E41" s="33" t="str">
        <f ca="1">IF(PaymentSchedule3[[#This Row],[Payment number]]&lt;&gt;"",ScheduledPayment,"")</f>
        <v/>
      </c>
      <c r="F41"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41"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41" s="33" t="str">
        <f ca="1">IF(PaymentSchedule3[[#This Row],[Payment number]]&lt;&gt;"",PaymentSchedule3[[#This Row],[Total
payment]]-PaymentSchedule3[[#This Row],[Interest]],"")</f>
        <v/>
      </c>
      <c r="I41" s="33" t="str">
        <f ca="1">IF(PaymentSchedule3[[#This Row],[Payment number]]&lt;&gt;"",PaymentSchedule3[[#This Row],[Beginning
balance]]*(InterestRate/PaymentsPerYear),"")</f>
        <v/>
      </c>
      <c r="J41" s="33" t="str">
        <f ca="1">IF(PaymentSchedule3[[#This Row],[Payment number]]&lt;&gt;"",IF(PaymentSchedule3[[#This Row],[Scheduled payment]]+PaymentSchedule3[[#This Row],[Extra
payment]]&lt;=PaymentSchedule3[[#This Row],[Beginning
balance]],PaymentSchedule3[[#This Row],[Beginning
balance]]-PaymentSchedule3[[#This Row],[Principal]],0),"")</f>
        <v/>
      </c>
      <c r="K41" s="33" t="str">
        <f ca="1">IF(PaymentSchedule3[[#This Row],[Payment number]]&lt;&gt;"",SUM(INDEX(PaymentSchedule3[Interest],1,1):PaymentSchedule3[[#This Row],[Interest]]),"")</f>
        <v/>
      </c>
    </row>
    <row r="42" spans="2:11" ht="24" customHeight="1" x14ac:dyDescent="0.3">
      <c r="B42" s="31" t="str">
        <f ca="1">IF(LoanIsGood,IF(ROW()-ROW(PaymentSchedule3[[#Headers],[Payment number]])&gt;ScheduledNumberOfPayments,"",ROW()-ROW(PaymentSchedule3[[#Headers],[Payment number]])),"")</f>
        <v/>
      </c>
      <c r="C42" s="32" t="str">
        <f ca="1">IF(PaymentSchedule3[[#This Row],[Payment number]]&lt;&gt;"",EOMONTH(LoanStartDate,ROW(PaymentSchedule3[[#This Row],[Payment number]])-ROW(PaymentSchedule3[[#Headers],[Payment number]])-2)+DAY(LoanStartDate),"")</f>
        <v/>
      </c>
      <c r="D42" s="33" t="str">
        <f ca="1">IF(PaymentSchedule3[[#This Row],[Payment number]]&lt;&gt;"",IF(ROW()-ROW(PaymentSchedule3[[#Headers],[Beginning
balance]])=1,LoanAmount,INDEX(PaymentSchedule3[Ending
balance],ROW()-ROW(PaymentSchedule3[[#Headers],[Beginning
balance]])-1)),"")</f>
        <v/>
      </c>
      <c r="E42" s="33" t="str">
        <f ca="1">IF(PaymentSchedule3[[#This Row],[Payment number]]&lt;&gt;"",ScheduledPayment,"")</f>
        <v/>
      </c>
      <c r="F42"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42"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42" s="33" t="str">
        <f ca="1">IF(PaymentSchedule3[[#This Row],[Payment number]]&lt;&gt;"",PaymentSchedule3[[#This Row],[Total
payment]]-PaymentSchedule3[[#This Row],[Interest]],"")</f>
        <v/>
      </c>
      <c r="I42" s="33" t="str">
        <f ca="1">IF(PaymentSchedule3[[#This Row],[Payment number]]&lt;&gt;"",PaymentSchedule3[[#This Row],[Beginning
balance]]*(InterestRate/PaymentsPerYear),"")</f>
        <v/>
      </c>
      <c r="J42" s="33" t="str">
        <f ca="1">IF(PaymentSchedule3[[#This Row],[Payment number]]&lt;&gt;"",IF(PaymentSchedule3[[#This Row],[Scheduled payment]]+PaymentSchedule3[[#This Row],[Extra
payment]]&lt;=PaymentSchedule3[[#This Row],[Beginning
balance]],PaymentSchedule3[[#This Row],[Beginning
balance]]-PaymentSchedule3[[#This Row],[Principal]],0),"")</f>
        <v/>
      </c>
      <c r="K42" s="33" t="str">
        <f ca="1">IF(PaymentSchedule3[[#This Row],[Payment number]]&lt;&gt;"",SUM(INDEX(PaymentSchedule3[Interest],1,1):PaymentSchedule3[[#This Row],[Interest]]),"")</f>
        <v/>
      </c>
    </row>
    <row r="43" spans="2:11" ht="24" customHeight="1" x14ac:dyDescent="0.3">
      <c r="B43" s="31" t="str">
        <f ca="1">IF(LoanIsGood,IF(ROW()-ROW(PaymentSchedule3[[#Headers],[Payment number]])&gt;ScheduledNumberOfPayments,"",ROW()-ROW(PaymentSchedule3[[#Headers],[Payment number]])),"")</f>
        <v/>
      </c>
      <c r="C43" s="32" t="str">
        <f ca="1">IF(PaymentSchedule3[[#This Row],[Payment number]]&lt;&gt;"",EOMONTH(LoanStartDate,ROW(PaymentSchedule3[[#This Row],[Payment number]])-ROW(PaymentSchedule3[[#Headers],[Payment number]])-2)+DAY(LoanStartDate),"")</f>
        <v/>
      </c>
      <c r="D43" s="33" t="str">
        <f ca="1">IF(PaymentSchedule3[[#This Row],[Payment number]]&lt;&gt;"",IF(ROW()-ROW(PaymentSchedule3[[#Headers],[Beginning
balance]])=1,LoanAmount,INDEX(PaymentSchedule3[Ending
balance],ROW()-ROW(PaymentSchedule3[[#Headers],[Beginning
balance]])-1)),"")</f>
        <v/>
      </c>
      <c r="E43" s="33" t="str">
        <f ca="1">IF(PaymentSchedule3[[#This Row],[Payment number]]&lt;&gt;"",ScheduledPayment,"")</f>
        <v/>
      </c>
      <c r="F43"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43"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43" s="33" t="str">
        <f ca="1">IF(PaymentSchedule3[[#This Row],[Payment number]]&lt;&gt;"",PaymentSchedule3[[#This Row],[Total
payment]]-PaymentSchedule3[[#This Row],[Interest]],"")</f>
        <v/>
      </c>
      <c r="I43" s="33" t="str">
        <f ca="1">IF(PaymentSchedule3[[#This Row],[Payment number]]&lt;&gt;"",PaymentSchedule3[[#This Row],[Beginning
balance]]*(InterestRate/PaymentsPerYear),"")</f>
        <v/>
      </c>
      <c r="J43" s="33" t="str">
        <f ca="1">IF(PaymentSchedule3[[#This Row],[Payment number]]&lt;&gt;"",IF(PaymentSchedule3[[#This Row],[Scheduled payment]]+PaymentSchedule3[[#This Row],[Extra
payment]]&lt;=PaymentSchedule3[[#This Row],[Beginning
balance]],PaymentSchedule3[[#This Row],[Beginning
balance]]-PaymentSchedule3[[#This Row],[Principal]],0),"")</f>
        <v/>
      </c>
      <c r="K43" s="33" t="str">
        <f ca="1">IF(PaymentSchedule3[[#This Row],[Payment number]]&lt;&gt;"",SUM(INDEX(PaymentSchedule3[Interest],1,1):PaymentSchedule3[[#This Row],[Interest]]),"")</f>
        <v/>
      </c>
    </row>
    <row r="44" spans="2:11" ht="24" customHeight="1" x14ac:dyDescent="0.3">
      <c r="B44" s="31" t="str">
        <f ca="1">IF(LoanIsGood,IF(ROW()-ROW(PaymentSchedule3[[#Headers],[Payment number]])&gt;ScheduledNumberOfPayments,"",ROW()-ROW(PaymentSchedule3[[#Headers],[Payment number]])),"")</f>
        <v/>
      </c>
      <c r="C44" s="32" t="str">
        <f ca="1">IF(PaymentSchedule3[[#This Row],[Payment number]]&lt;&gt;"",EOMONTH(LoanStartDate,ROW(PaymentSchedule3[[#This Row],[Payment number]])-ROW(PaymentSchedule3[[#Headers],[Payment number]])-2)+DAY(LoanStartDate),"")</f>
        <v/>
      </c>
      <c r="D44" s="33" t="str">
        <f ca="1">IF(PaymentSchedule3[[#This Row],[Payment number]]&lt;&gt;"",IF(ROW()-ROW(PaymentSchedule3[[#Headers],[Beginning
balance]])=1,LoanAmount,INDEX(PaymentSchedule3[Ending
balance],ROW()-ROW(PaymentSchedule3[[#Headers],[Beginning
balance]])-1)),"")</f>
        <v/>
      </c>
      <c r="E44" s="33" t="str">
        <f ca="1">IF(PaymentSchedule3[[#This Row],[Payment number]]&lt;&gt;"",ScheduledPayment,"")</f>
        <v/>
      </c>
      <c r="F44"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44"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44" s="33" t="str">
        <f ca="1">IF(PaymentSchedule3[[#This Row],[Payment number]]&lt;&gt;"",PaymentSchedule3[[#This Row],[Total
payment]]-PaymentSchedule3[[#This Row],[Interest]],"")</f>
        <v/>
      </c>
      <c r="I44" s="33" t="str">
        <f ca="1">IF(PaymentSchedule3[[#This Row],[Payment number]]&lt;&gt;"",PaymentSchedule3[[#This Row],[Beginning
balance]]*(InterestRate/PaymentsPerYear),"")</f>
        <v/>
      </c>
      <c r="J44" s="33" t="str">
        <f ca="1">IF(PaymentSchedule3[[#This Row],[Payment number]]&lt;&gt;"",IF(PaymentSchedule3[[#This Row],[Scheduled payment]]+PaymentSchedule3[[#This Row],[Extra
payment]]&lt;=PaymentSchedule3[[#This Row],[Beginning
balance]],PaymentSchedule3[[#This Row],[Beginning
balance]]-PaymentSchedule3[[#This Row],[Principal]],0),"")</f>
        <v/>
      </c>
      <c r="K44" s="33" t="str">
        <f ca="1">IF(PaymentSchedule3[[#This Row],[Payment number]]&lt;&gt;"",SUM(INDEX(PaymentSchedule3[Interest],1,1):PaymentSchedule3[[#This Row],[Interest]]),"")</f>
        <v/>
      </c>
    </row>
    <row r="45" spans="2:11" ht="24" customHeight="1" x14ac:dyDescent="0.3">
      <c r="B45" s="31" t="str">
        <f ca="1">IF(LoanIsGood,IF(ROW()-ROW(PaymentSchedule3[[#Headers],[Payment number]])&gt;ScheduledNumberOfPayments,"",ROW()-ROW(PaymentSchedule3[[#Headers],[Payment number]])),"")</f>
        <v/>
      </c>
      <c r="C45" s="32" t="str">
        <f ca="1">IF(PaymentSchedule3[[#This Row],[Payment number]]&lt;&gt;"",EOMONTH(LoanStartDate,ROW(PaymentSchedule3[[#This Row],[Payment number]])-ROW(PaymentSchedule3[[#Headers],[Payment number]])-2)+DAY(LoanStartDate),"")</f>
        <v/>
      </c>
      <c r="D45" s="33" t="str">
        <f ca="1">IF(PaymentSchedule3[[#This Row],[Payment number]]&lt;&gt;"",IF(ROW()-ROW(PaymentSchedule3[[#Headers],[Beginning
balance]])=1,LoanAmount,INDEX(PaymentSchedule3[Ending
balance],ROW()-ROW(PaymentSchedule3[[#Headers],[Beginning
balance]])-1)),"")</f>
        <v/>
      </c>
      <c r="E45" s="33" t="str">
        <f ca="1">IF(PaymentSchedule3[[#This Row],[Payment number]]&lt;&gt;"",ScheduledPayment,"")</f>
        <v/>
      </c>
      <c r="F45"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45"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45" s="33" t="str">
        <f ca="1">IF(PaymentSchedule3[[#This Row],[Payment number]]&lt;&gt;"",PaymentSchedule3[[#This Row],[Total
payment]]-PaymentSchedule3[[#This Row],[Interest]],"")</f>
        <v/>
      </c>
      <c r="I45" s="33" t="str">
        <f ca="1">IF(PaymentSchedule3[[#This Row],[Payment number]]&lt;&gt;"",PaymentSchedule3[[#This Row],[Beginning
balance]]*(InterestRate/PaymentsPerYear),"")</f>
        <v/>
      </c>
      <c r="J45" s="33" t="str">
        <f ca="1">IF(PaymentSchedule3[[#This Row],[Payment number]]&lt;&gt;"",IF(PaymentSchedule3[[#This Row],[Scheduled payment]]+PaymentSchedule3[[#This Row],[Extra
payment]]&lt;=PaymentSchedule3[[#This Row],[Beginning
balance]],PaymentSchedule3[[#This Row],[Beginning
balance]]-PaymentSchedule3[[#This Row],[Principal]],0),"")</f>
        <v/>
      </c>
      <c r="K45" s="33" t="str">
        <f ca="1">IF(PaymentSchedule3[[#This Row],[Payment number]]&lt;&gt;"",SUM(INDEX(PaymentSchedule3[Interest],1,1):PaymentSchedule3[[#This Row],[Interest]]),"")</f>
        <v/>
      </c>
    </row>
    <row r="46" spans="2:11" ht="24" customHeight="1" x14ac:dyDescent="0.3">
      <c r="B46" s="31" t="str">
        <f ca="1">IF(LoanIsGood,IF(ROW()-ROW(PaymentSchedule3[[#Headers],[Payment number]])&gt;ScheduledNumberOfPayments,"",ROW()-ROW(PaymentSchedule3[[#Headers],[Payment number]])),"")</f>
        <v/>
      </c>
      <c r="C46" s="32" t="str">
        <f ca="1">IF(PaymentSchedule3[[#This Row],[Payment number]]&lt;&gt;"",EOMONTH(LoanStartDate,ROW(PaymentSchedule3[[#This Row],[Payment number]])-ROW(PaymentSchedule3[[#Headers],[Payment number]])-2)+DAY(LoanStartDate),"")</f>
        <v/>
      </c>
      <c r="D46" s="33" t="str">
        <f ca="1">IF(PaymentSchedule3[[#This Row],[Payment number]]&lt;&gt;"",IF(ROW()-ROW(PaymentSchedule3[[#Headers],[Beginning
balance]])=1,LoanAmount,INDEX(PaymentSchedule3[Ending
balance],ROW()-ROW(PaymentSchedule3[[#Headers],[Beginning
balance]])-1)),"")</f>
        <v/>
      </c>
      <c r="E46" s="33" t="str">
        <f ca="1">IF(PaymentSchedule3[[#This Row],[Payment number]]&lt;&gt;"",ScheduledPayment,"")</f>
        <v/>
      </c>
      <c r="F46"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46"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46" s="33" t="str">
        <f ca="1">IF(PaymentSchedule3[[#This Row],[Payment number]]&lt;&gt;"",PaymentSchedule3[[#This Row],[Total
payment]]-PaymentSchedule3[[#This Row],[Interest]],"")</f>
        <v/>
      </c>
      <c r="I46" s="33" t="str">
        <f ca="1">IF(PaymentSchedule3[[#This Row],[Payment number]]&lt;&gt;"",PaymentSchedule3[[#This Row],[Beginning
balance]]*(InterestRate/PaymentsPerYear),"")</f>
        <v/>
      </c>
      <c r="J46" s="33" t="str">
        <f ca="1">IF(PaymentSchedule3[[#This Row],[Payment number]]&lt;&gt;"",IF(PaymentSchedule3[[#This Row],[Scheduled payment]]+PaymentSchedule3[[#This Row],[Extra
payment]]&lt;=PaymentSchedule3[[#This Row],[Beginning
balance]],PaymentSchedule3[[#This Row],[Beginning
balance]]-PaymentSchedule3[[#This Row],[Principal]],0),"")</f>
        <v/>
      </c>
      <c r="K46" s="33" t="str">
        <f ca="1">IF(PaymentSchedule3[[#This Row],[Payment number]]&lt;&gt;"",SUM(INDEX(PaymentSchedule3[Interest],1,1):PaymentSchedule3[[#This Row],[Interest]]),"")</f>
        <v/>
      </c>
    </row>
    <row r="47" spans="2:11" ht="24" customHeight="1" x14ac:dyDescent="0.3">
      <c r="B47" s="31" t="str">
        <f ca="1">IF(LoanIsGood,IF(ROW()-ROW(PaymentSchedule3[[#Headers],[Payment number]])&gt;ScheduledNumberOfPayments,"",ROW()-ROW(PaymentSchedule3[[#Headers],[Payment number]])),"")</f>
        <v/>
      </c>
      <c r="C47" s="32" t="str">
        <f ca="1">IF(PaymentSchedule3[[#This Row],[Payment number]]&lt;&gt;"",EOMONTH(LoanStartDate,ROW(PaymentSchedule3[[#This Row],[Payment number]])-ROW(PaymentSchedule3[[#Headers],[Payment number]])-2)+DAY(LoanStartDate),"")</f>
        <v/>
      </c>
      <c r="D47" s="33" t="str">
        <f ca="1">IF(PaymentSchedule3[[#This Row],[Payment number]]&lt;&gt;"",IF(ROW()-ROW(PaymentSchedule3[[#Headers],[Beginning
balance]])=1,LoanAmount,INDEX(PaymentSchedule3[Ending
balance],ROW()-ROW(PaymentSchedule3[[#Headers],[Beginning
balance]])-1)),"")</f>
        <v/>
      </c>
      <c r="E47" s="33" t="str">
        <f ca="1">IF(PaymentSchedule3[[#This Row],[Payment number]]&lt;&gt;"",ScheduledPayment,"")</f>
        <v/>
      </c>
      <c r="F47"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47"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47" s="33" t="str">
        <f ca="1">IF(PaymentSchedule3[[#This Row],[Payment number]]&lt;&gt;"",PaymentSchedule3[[#This Row],[Total
payment]]-PaymentSchedule3[[#This Row],[Interest]],"")</f>
        <v/>
      </c>
      <c r="I47" s="33" t="str">
        <f ca="1">IF(PaymentSchedule3[[#This Row],[Payment number]]&lt;&gt;"",PaymentSchedule3[[#This Row],[Beginning
balance]]*(InterestRate/PaymentsPerYear),"")</f>
        <v/>
      </c>
      <c r="J47" s="33" t="str">
        <f ca="1">IF(PaymentSchedule3[[#This Row],[Payment number]]&lt;&gt;"",IF(PaymentSchedule3[[#This Row],[Scheduled payment]]+PaymentSchedule3[[#This Row],[Extra
payment]]&lt;=PaymentSchedule3[[#This Row],[Beginning
balance]],PaymentSchedule3[[#This Row],[Beginning
balance]]-PaymentSchedule3[[#This Row],[Principal]],0),"")</f>
        <v/>
      </c>
      <c r="K47" s="33" t="str">
        <f ca="1">IF(PaymentSchedule3[[#This Row],[Payment number]]&lt;&gt;"",SUM(INDEX(PaymentSchedule3[Interest],1,1):PaymentSchedule3[[#This Row],[Interest]]),"")</f>
        <v/>
      </c>
    </row>
    <row r="48" spans="2:11" ht="24" customHeight="1" x14ac:dyDescent="0.3">
      <c r="B48" s="31" t="str">
        <f ca="1">IF(LoanIsGood,IF(ROW()-ROW(PaymentSchedule3[[#Headers],[Payment number]])&gt;ScheduledNumberOfPayments,"",ROW()-ROW(PaymentSchedule3[[#Headers],[Payment number]])),"")</f>
        <v/>
      </c>
      <c r="C48" s="32" t="str">
        <f ca="1">IF(PaymentSchedule3[[#This Row],[Payment number]]&lt;&gt;"",EOMONTH(LoanStartDate,ROW(PaymentSchedule3[[#This Row],[Payment number]])-ROW(PaymentSchedule3[[#Headers],[Payment number]])-2)+DAY(LoanStartDate),"")</f>
        <v/>
      </c>
      <c r="D48" s="33" t="str">
        <f ca="1">IF(PaymentSchedule3[[#This Row],[Payment number]]&lt;&gt;"",IF(ROW()-ROW(PaymentSchedule3[[#Headers],[Beginning
balance]])=1,LoanAmount,INDEX(PaymentSchedule3[Ending
balance],ROW()-ROW(PaymentSchedule3[[#Headers],[Beginning
balance]])-1)),"")</f>
        <v/>
      </c>
      <c r="E48" s="33" t="str">
        <f ca="1">IF(PaymentSchedule3[[#This Row],[Payment number]]&lt;&gt;"",ScheduledPayment,"")</f>
        <v/>
      </c>
      <c r="F48"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48"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48" s="33" t="str">
        <f ca="1">IF(PaymentSchedule3[[#This Row],[Payment number]]&lt;&gt;"",PaymentSchedule3[[#This Row],[Total
payment]]-PaymentSchedule3[[#This Row],[Interest]],"")</f>
        <v/>
      </c>
      <c r="I48" s="33" t="str">
        <f ca="1">IF(PaymentSchedule3[[#This Row],[Payment number]]&lt;&gt;"",PaymentSchedule3[[#This Row],[Beginning
balance]]*(InterestRate/PaymentsPerYear),"")</f>
        <v/>
      </c>
      <c r="J48" s="33" t="str">
        <f ca="1">IF(PaymentSchedule3[[#This Row],[Payment number]]&lt;&gt;"",IF(PaymentSchedule3[[#This Row],[Scheduled payment]]+PaymentSchedule3[[#This Row],[Extra
payment]]&lt;=PaymentSchedule3[[#This Row],[Beginning
balance]],PaymentSchedule3[[#This Row],[Beginning
balance]]-PaymentSchedule3[[#This Row],[Principal]],0),"")</f>
        <v/>
      </c>
      <c r="K48" s="33" t="str">
        <f ca="1">IF(PaymentSchedule3[[#This Row],[Payment number]]&lt;&gt;"",SUM(INDEX(PaymentSchedule3[Interest],1,1):PaymentSchedule3[[#This Row],[Interest]]),"")</f>
        <v/>
      </c>
    </row>
    <row r="49" spans="2:11" ht="24" customHeight="1" x14ac:dyDescent="0.3">
      <c r="B49" s="31" t="str">
        <f ca="1">IF(LoanIsGood,IF(ROW()-ROW(PaymentSchedule3[[#Headers],[Payment number]])&gt;ScheduledNumberOfPayments,"",ROW()-ROW(PaymentSchedule3[[#Headers],[Payment number]])),"")</f>
        <v/>
      </c>
      <c r="C49" s="32" t="str">
        <f ca="1">IF(PaymentSchedule3[[#This Row],[Payment number]]&lt;&gt;"",EOMONTH(LoanStartDate,ROW(PaymentSchedule3[[#This Row],[Payment number]])-ROW(PaymentSchedule3[[#Headers],[Payment number]])-2)+DAY(LoanStartDate),"")</f>
        <v/>
      </c>
      <c r="D49" s="33" t="str">
        <f ca="1">IF(PaymentSchedule3[[#This Row],[Payment number]]&lt;&gt;"",IF(ROW()-ROW(PaymentSchedule3[[#Headers],[Beginning
balance]])=1,LoanAmount,INDEX(PaymentSchedule3[Ending
balance],ROW()-ROW(PaymentSchedule3[[#Headers],[Beginning
balance]])-1)),"")</f>
        <v/>
      </c>
      <c r="E49" s="33" t="str">
        <f ca="1">IF(PaymentSchedule3[[#This Row],[Payment number]]&lt;&gt;"",ScheduledPayment,"")</f>
        <v/>
      </c>
      <c r="F49"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49"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49" s="33" t="str">
        <f ca="1">IF(PaymentSchedule3[[#This Row],[Payment number]]&lt;&gt;"",PaymentSchedule3[[#This Row],[Total
payment]]-PaymentSchedule3[[#This Row],[Interest]],"")</f>
        <v/>
      </c>
      <c r="I49" s="33" t="str">
        <f ca="1">IF(PaymentSchedule3[[#This Row],[Payment number]]&lt;&gt;"",PaymentSchedule3[[#This Row],[Beginning
balance]]*(InterestRate/PaymentsPerYear),"")</f>
        <v/>
      </c>
      <c r="J49" s="33" t="str">
        <f ca="1">IF(PaymentSchedule3[[#This Row],[Payment number]]&lt;&gt;"",IF(PaymentSchedule3[[#This Row],[Scheduled payment]]+PaymentSchedule3[[#This Row],[Extra
payment]]&lt;=PaymentSchedule3[[#This Row],[Beginning
balance]],PaymentSchedule3[[#This Row],[Beginning
balance]]-PaymentSchedule3[[#This Row],[Principal]],0),"")</f>
        <v/>
      </c>
      <c r="K49" s="33" t="str">
        <f ca="1">IF(PaymentSchedule3[[#This Row],[Payment number]]&lt;&gt;"",SUM(INDEX(PaymentSchedule3[Interest],1,1):PaymentSchedule3[[#This Row],[Interest]]),"")</f>
        <v/>
      </c>
    </row>
    <row r="50" spans="2:11" ht="24" customHeight="1" x14ac:dyDescent="0.3">
      <c r="B50" s="31" t="str">
        <f ca="1">IF(LoanIsGood,IF(ROW()-ROW(PaymentSchedule3[[#Headers],[Payment number]])&gt;ScheduledNumberOfPayments,"",ROW()-ROW(PaymentSchedule3[[#Headers],[Payment number]])),"")</f>
        <v/>
      </c>
      <c r="C50" s="32" t="str">
        <f ca="1">IF(PaymentSchedule3[[#This Row],[Payment number]]&lt;&gt;"",EOMONTH(LoanStartDate,ROW(PaymentSchedule3[[#This Row],[Payment number]])-ROW(PaymentSchedule3[[#Headers],[Payment number]])-2)+DAY(LoanStartDate),"")</f>
        <v/>
      </c>
      <c r="D50" s="33" t="str">
        <f ca="1">IF(PaymentSchedule3[[#This Row],[Payment number]]&lt;&gt;"",IF(ROW()-ROW(PaymentSchedule3[[#Headers],[Beginning
balance]])=1,LoanAmount,INDEX(PaymentSchedule3[Ending
balance],ROW()-ROW(PaymentSchedule3[[#Headers],[Beginning
balance]])-1)),"")</f>
        <v/>
      </c>
      <c r="E50" s="33" t="str">
        <f ca="1">IF(PaymentSchedule3[[#This Row],[Payment number]]&lt;&gt;"",ScheduledPayment,"")</f>
        <v/>
      </c>
      <c r="F50"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50"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50" s="33" t="str">
        <f ca="1">IF(PaymentSchedule3[[#This Row],[Payment number]]&lt;&gt;"",PaymentSchedule3[[#This Row],[Total
payment]]-PaymentSchedule3[[#This Row],[Interest]],"")</f>
        <v/>
      </c>
      <c r="I50" s="33" t="str">
        <f ca="1">IF(PaymentSchedule3[[#This Row],[Payment number]]&lt;&gt;"",PaymentSchedule3[[#This Row],[Beginning
balance]]*(InterestRate/PaymentsPerYear),"")</f>
        <v/>
      </c>
      <c r="J50" s="33" t="str">
        <f ca="1">IF(PaymentSchedule3[[#This Row],[Payment number]]&lt;&gt;"",IF(PaymentSchedule3[[#This Row],[Scheduled payment]]+PaymentSchedule3[[#This Row],[Extra
payment]]&lt;=PaymentSchedule3[[#This Row],[Beginning
balance]],PaymentSchedule3[[#This Row],[Beginning
balance]]-PaymentSchedule3[[#This Row],[Principal]],0),"")</f>
        <v/>
      </c>
      <c r="K50" s="33" t="str">
        <f ca="1">IF(PaymentSchedule3[[#This Row],[Payment number]]&lt;&gt;"",SUM(INDEX(PaymentSchedule3[Interest],1,1):PaymentSchedule3[[#This Row],[Interest]]),"")</f>
        <v/>
      </c>
    </row>
    <row r="51" spans="2:11" ht="24" customHeight="1" x14ac:dyDescent="0.3">
      <c r="B51" s="31" t="str">
        <f ca="1">IF(LoanIsGood,IF(ROW()-ROW(PaymentSchedule3[[#Headers],[Payment number]])&gt;ScheduledNumberOfPayments,"",ROW()-ROW(PaymentSchedule3[[#Headers],[Payment number]])),"")</f>
        <v/>
      </c>
      <c r="C51" s="32" t="str">
        <f ca="1">IF(PaymentSchedule3[[#This Row],[Payment number]]&lt;&gt;"",EOMONTH(LoanStartDate,ROW(PaymentSchedule3[[#This Row],[Payment number]])-ROW(PaymentSchedule3[[#Headers],[Payment number]])-2)+DAY(LoanStartDate),"")</f>
        <v/>
      </c>
      <c r="D51" s="33" t="str">
        <f ca="1">IF(PaymentSchedule3[[#This Row],[Payment number]]&lt;&gt;"",IF(ROW()-ROW(PaymentSchedule3[[#Headers],[Beginning
balance]])=1,LoanAmount,INDEX(PaymentSchedule3[Ending
balance],ROW()-ROW(PaymentSchedule3[[#Headers],[Beginning
balance]])-1)),"")</f>
        <v/>
      </c>
      <c r="E51" s="33" t="str">
        <f ca="1">IF(PaymentSchedule3[[#This Row],[Payment number]]&lt;&gt;"",ScheduledPayment,"")</f>
        <v/>
      </c>
      <c r="F51"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51"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51" s="33" t="str">
        <f ca="1">IF(PaymentSchedule3[[#This Row],[Payment number]]&lt;&gt;"",PaymentSchedule3[[#This Row],[Total
payment]]-PaymentSchedule3[[#This Row],[Interest]],"")</f>
        <v/>
      </c>
      <c r="I51" s="33" t="str">
        <f ca="1">IF(PaymentSchedule3[[#This Row],[Payment number]]&lt;&gt;"",PaymentSchedule3[[#This Row],[Beginning
balance]]*(InterestRate/PaymentsPerYear),"")</f>
        <v/>
      </c>
      <c r="J51" s="33" t="str">
        <f ca="1">IF(PaymentSchedule3[[#This Row],[Payment number]]&lt;&gt;"",IF(PaymentSchedule3[[#This Row],[Scheduled payment]]+PaymentSchedule3[[#This Row],[Extra
payment]]&lt;=PaymentSchedule3[[#This Row],[Beginning
balance]],PaymentSchedule3[[#This Row],[Beginning
balance]]-PaymentSchedule3[[#This Row],[Principal]],0),"")</f>
        <v/>
      </c>
      <c r="K51" s="33" t="str">
        <f ca="1">IF(PaymentSchedule3[[#This Row],[Payment number]]&lt;&gt;"",SUM(INDEX(PaymentSchedule3[Interest],1,1):PaymentSchedule3[[#This Row],[Interest]]),"")</f>
        <v/>
      </c>
    </row>
    <row r="52" spans="2:11" ht="24" customHeight="1" x14ac:dyDescent="0.3">
      <c r="B52" s="31" t="str">
        <f ca="1">IF(LoanIsGood,IF(ROW()-ROW(PaymentSchedule3[[#Headers],[Payment number]])&gt;ScheduledNumberOfPayments,"",ROW()-ROW(PaymentSchedule3[[#Headers],[Payment number]])),"")</f>
        <v/>
      </c>
      <c r="C52" s="32" t="str">
        <f ca="1">IF(PaymentSchedule3[[#This Row],[Payment number]]&lt;&gt;"",EOMONTH(LoanStartDate,ROW(PaymentSchedule3[[#This Row],[Payment number]])-ROW(PaymentSchedule3[[#Headers],[Payment number]])-2)+DAY(LoanStartDate),"")</f>
        <v/>
      </c>
      <c r="D52" s="33" t="str">
        <f ca="1">IF(PaymentSchedule3[[#This Row],[Payment number]]&lt;&gt;"",IF(ROW()-ROW(PaymentSchedule3[[#Headers],[Beginning
balance]])=1,LoanAmount,INDEX(PaymentSchedule3[Ending
balance],ROW()-ROW(PaymentSchedule3[[#Headers],[Beginning
balance]])-1)),"")</f>
        <v/>
      </c>
      <c r="E52" s="33" t="str">
        <f ca="1">IF(PaymentSchedule3[[#This Row],[Payment number]]&lt;&gt;"",ScheduledPayment,"")</f>
        <v/>
      </c>
      <c r="F52"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52"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52" s="33" t="str">
        <f ca="1">IF(PaymentSchedule3[[#This Row],[Payment number]]&lt;&gt;"",PaymentSchedule3[[#This Row],[Total
payment]]-PaymentSchedule3[[#This Row],[Interest]],"")</f>
        <v/>
      </c>
      <c r="I52" s="33" t="str">
        <f ca="1">IF(PaymentSchedule3[[#This Row],[Payment number]]&lt;&gt;"",PaymentSchedule3[[#This Row],[Beginning
balance]]*(InterestRate/PaymentsPerYear),"")</f>
        <v/>
      </c>
      <c r="J52" s="33" t="str">
        <f ca="1">IF(PaymentSchedule3[[#This Row],[Payment number]]&lt;&gt;"",IF(PaymentSchedule3[[#This Row],[Scheduled payment]]+PaymentSchedule3[[#This Row],[Extra
payment]]&lt;=PaymentSchedule3[[#This Row],[Beginning
balance]],PaymentSchedule3[[#This Row],[Beginning
balance]]-PaymentSchedule3[[#This Row],[Principal]],0),"")</f>
        <v/>
      </c>
      <c r="K52" s="33" t="str">
        <f ca="1">IF(PaymentSchedule3[[#This Row],[Payment number]]&lt;&gt;"",SUM(INDEX(PaymentSchedule3[Interest],1,1):PaymentSchedule3[[#This Row],[Interest]]),"")</f>
        <v/>
      </c>
    </row>
    <row r="53" spans="2:11" ht="24" customHeight="1" x14ac:dyDescent="0.3">
      <c r="B53" s="31" t="str">
        <f ca="1">IF(LoanIsGood,IF(ROW()-ROW(PaymentSchedule3[[#Headers],[Payment number]])&gt;ScheduledNumberOfPayments,"",ROW()-ROW(PaymentSchedule3[[#Headers],[Payment number]])),"")</f>
        <v/>
      </c>
      <c r="C53" s="32" t="str">
        <f ca="1">IF(PaymentSchedule3[[#This Row],[Payment number]]&lt;&gt;"",EOMONTH(LoanStartDate,ROW(PaymentSchedule3[[#This Row],[Payment number]])-ROW(PaymentSchedule3[[#Headers],[Payment number]])-2)+DAY(LoanStartDate),"")</f>
        <v/>
      </c>
      <c r="D53" s="33" t="str">
        <f ca="1">IF(PaymentSchedule3[[#This Row],[Payment number]]&lt;&gt;"",IF(ROW()-ROW(PaymentSchedule3[[#Headers],[Beginning
balance]])=1,LoanAmount,INDEX(PaymentSchedule3[Ending
balance],ROW()-ROW(PaymentSchedule3[[#Headers],[Beginning
balance]])-1)),"")</f>
        <v/>
      </c>
      <c r="E53" s="33" t="str">
        <f ca="1">IF(PaymentSchedule3[[#This Row],[Payment number]]&lt;&gt;"",ScheduledPayment,"")</f>
        <v/>
      </c>
      <c r="F53"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53"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53" s="33" t="str">
        <f ca="1">IF(PaymentSchedule3[[#This Row],[Payment number]]&lt;&gt;"",PaymentSchedule3[[#This Row],[Total
payment]]-PaymentSchedule3[[#This Row],[Interest]],"")</f>
        <v/>
      </c>
      <c r="I53" s="33" t="str">
        <f ca="1">IF(PaymentSchedule3[[#This Row],[Payment number]]&lt;&gt;"",PaymentSchedule3[[#This Row],[Beginning
balance]]*(InterestRate/PaymentsPerYear),"")</f>
        <v/>
      </c>
      <c r="J53" s="33" t="str">
        <f ca="1">IF(PaymentSchedule3[[#This Row],[Payment number]]&lt;&gt;"",IF(PaymentSchedule3[[#This Row],[Scheduled payment]]+PaymentSchedule3[[#This Row],[Extra
payment]]&lt;=PaymentSchedule3[[#This Row],[Beginning
balance]],PaymentSchedule3[[#This Row],[Beginning
balance]]-PaymentSchedule3[[#This Row],[Principal]],0),"")</f>
        <v/>
      </c>
      <c r="K53" s="33" t="str">
        <f ca="1">IF(PaymentSchedule3[[#This Row],[Payment number]]&lt;&gt;"",SUM(INDEX(PaymentSchedule3[Interest],1,1):PaymentSchedule3[[#This Row],[Interest]]),"")</f>
        <v/>
      </c>
    </row>
    <row r="54" spans="2:11" ht="24" customHeight="1" x14ac:dyDescent="0.3">
      <c r="B54" s="31" t="str">
        <f ca="1">IF(LoanIsGood,IF(ROW()-ROW(PaymentSchedule3[[#Headers],[Payment number]])&gt;ScheduledNumberOfPayments,"",ROW()-ROW(PaymentSchedule3[[#Headers],[Payment number]])),"")</f>
        <v/>
      </c>
      <c r="C54" s="32" t="str">
        <f ca="1">IF(PaymentSchedule3[[#This Row],[Payment number]]&lt;&gt;"",EOMONTH(LoanStartDate,ROW(PaymentSchedule3[[#This Row],[Payment number]])-ROW(PaymentSchedule3[[#Headers],[Payment number]])-2)+DAY(LoanStartDate),"")</f>
        <v/>
      </c>
      <c r="D54" s="33" t="str">
        <f ca="1">IF(PaymentSchedule3[[#This Row],[Payment number]]&lt;&gt;"",IF(ROW()-ROW(PaymentSchedule3[[#Headers],[Beginning
balance]])=1,LoanAmount,INDEX(PaymentSchedule3[Ending
balance],ROW()-ROW(PaymentSchedule3[[#Headers],[Beginning
balance]])-1)),"")</f>
        <v/>
      </c>
      <c r="E54" s="33" t="str">
        <f ca="1">IF(PaymentSchedule3[[#This Row],[Payment number]]&lt;&gt;"",ScheduledPayment,"")</f>
        <v/>
      </c>
      <c r="F54"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54"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54" s="33" t="str">
        <f ca="1">IF(PaymentSchedule3[[#This Row],[Payment number]]&lt;&gt;"",PaymentSchedule3[[#This Row],[Total
payment]]-PaymentSchedule3[[#This Row],[Interest]],"")</f>
        <v/>
      </c>
      <c r="I54" s="33" t="str">
        <f ca="1">IF(PaymentSchedule3[[#This Row],[Payment number]]&lt;&gt;"",PaymentSchedule3[[#This Row],[Beginning
balance]]*(InterestRate/PaymentsPerYear),"")</f>
        <v/>
      </c>
      <c r="J54" s="33" t="str">
        <f ca="1">IF(PaymentSchedule3[[#This Row],[Payment number]]&lt;&gt;"",IF(PaymentSchedule3[[#This Row],[Scheduled payment]]+PaymentSchedule3[[#This Row],[Extra
payment]]&lt;=PaymentSchedule3[[#This Row],[Beginning
balance]],PaymentSchedule3[[#This Row],[Beginning
balance]]-PaymentSchedule3[[#This Row],[Principal]],0),"")</f>
        <v/>
      </c>
      <c r="K54" s="33" t="str">
        <f ca="1">IF(PaymentSchedule3[[#This Row],[Payment number]]&lt;&gt;"",SUM(INDEX(PaymentSchedule3[Interest],1,1):PaymentSchedule3[[#This Row],[Interest]]),"")</f>
        <v/>
      </c>
    </row>
    <row r="55" spans="2:11" ht="24" customHeight="1" x14ac:dyDescent="0.3">
      <c r="B55" s="31" t="str">
        <f ca="1">IF(LoanIsGood,IF(ROW()-ROW(PaymentSchedule3[[#Headers],[Payment number]])&gt;ScheduledNumberOfPayments,"",ROW()-ROW(PaymentSchedule3[[#Headers],[Payment number]])),"")</f>
        <v/>
      </c>
      <c r="C55" s="32" t="str">
        <f ca="1">IF(PaymentSchedule3[[#This Row],[Payment number]]&lt;&gt;"",EOMONTH(LoanStartDate,ROW(PaymentSchedule3[[#This Row],[Payment number]])-ROW(PaymentSchedule3[[#Headers],[Payment number]])-2)+DAY(LoanStartDate),"")</f>
        <v/>
      </c>
      <c r="D55" s="33" t="str">
        <f ca="1">IF(PaymentSchedule3[[#This Row],[Payment number]]&lt;&gt;"",IF(ROW()-ROW(PaymentSchedule3[[#Headers],[Beginning
balance]])=1,LoanAmount,INDEX(PaymentSchedule3[Ending
balance],ROW()-ROW(PaymentSchedule3[[#Headers],[Beginning
balance]])-1)),"")</f>
        <v/>
      </c>
      <c r="E55" s="33" t="str">
        <f ca="1">IF(PaymentSchedule3[[#This Row],[Payment number]]&lt;&gt;"",ScheduledPayment,"")</f>
        <v/>
      </c>
      <c r="F55"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55"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55" s="33" t="str">
        <f ca="1">IF(PaymentSchedule3[[#This Row],[Payment number]]&lt;&gt;"",PaymentSchedule3[[#This Row],[Total
payment]]-PaymentSchedule3[[#This Row],[Interest]],"")</f>
        <v/>
      </c>
      <c r="I55" s="33" t="str">
        <f ca="1">IF(PaymentSchedule3[[#This Row],[Payment number]]&lt;&gt;"",PaymentSchedule3[[#This Row],[Beginning
balance]]*(InterestRate/PaymentsPerYear),"")</f>
        <v/>
      </c>
      <c r="J55" s="33" t="str">
        <f ca="1">IF(PaymentSchedule3[[#This Row],[Payment number]]&lt;&gt;"",IF(PaymentSchedule3[[#This Row],[Scheduled payment]]+PaymentSchedule3[[#This Row],[Extra
payment]]&lt;=PaymentSchedule3[[#This Row],[Beginning
balance]],PaymentSchedule3[[#This Row],[Beginning
balance]]-PaymentSchedule3[[#This Row],[Principal]],0),"")</f>
        <v/>
      </c>
      <c r="K55" s="33" t="str">
        <f ca="1">IF(PaymentSchedule3[[#This Row],[Payment number]]&lt;&gt;"",SUM(INDEX(PaymentSchedule3[Interest],1,1):PaymentSchedule3[[#This Row],[Interest]]),"")</f>
        <v/>
      </c>
    </row>
    <row r="56" spans="2:11" ht="24" customHeight="1" x14ac:dyDescent="0.3">
      <c r="B56" s="31" t="str">
        <f ca="1">IF(LoanIsGood,IF(ROW()-ROW(PaymentSchedule3[[#Headers],[Payment number]])&gt;ScheduledNumberOfPayments,"",ROW()-ROW(PaymentSchedule3[[#Headers],[Payment number]])),"")</f>
        <v/>
      </c>
      <c r="C56" s="32" t="str">
        <f ca="1">IF(PaymentSchedule3[[#This Row],[Payment number]]&lt;&gt;"",EOMONTH(LoanStartDate,ROW(PaymentSchedule3[[#This Row],[Payment number]])-ROW(PaymentSchedule3[[#Headers],[Payment number]])-2)+DAY(LoanStartDate),"")</f>
        <v/>
      </c>
      <c r="D56" s="33" t="str">
        <f ca="1">IF(PaymentSchedule3[[#This Row],[Payment number]]&lt;&gt;"",IF(ROW()-ROW(PaymentSchedule3[[#Headers],[Beginning
balance]])=1,LoanAmount,INDEX(PaymentSchedule3[Ending
balance],ROW()-ROW(PaymentSchedule3[[#Headers],[Beginning
balance]])-1)),"")</f>
        <v/>
      </c>
      <c r="E56" s="33" t="str">
        <f ca="1">IF(PaymentSchedule3[[#This Row],[Payment number]]&lt;&gt;"",ScheduledPayment,"")</f>
        <v/>
      </c>
      <c r="F56"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56"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56" s="33" t="str">
        <f ca="1">IF(PaymentSchedule3[[#This Row],[Payment number]]&lt;&gt;"",PaymentSchedule3[[#This Row],[Total
payment]]-PaymentSchedule3[[#This Row],[Interest]],"")</f>
        <v/>
      </c>
      <c r="I56" s="33" t="str">
        <f ca="1">IF(PaymentSchedule3[[#This Row],[Payment number]]&lt;&gt;"",PaymentSchedule3[[#This Row],[Beginning
balance]]*(InterestRate/PaymentsPerYear),"")</f>
        <v/>
      </c>
      <c r="J56" s="33" t="str">
        <f ca="1">IF(PaymentSchedule3[[#This Row],[Payment number]]&lt;&gt;"",IF(PaymentSchedule3[[#This Row],[Scheduled payment]]+PaymentSchedule3[[#This Row],[Extra
payment]]&lt;=PaymentSchedule3[[#This Row],[Beginning
balance]],PaymentSchedule3[[#This Row],[Beginning
balance]]-PaymentSchedule3[[#This Row],[Principal]],0),"")</f>
        <v/>
      </c>
      <c r="K56" s="33" t="str">
        <f ca="1">IF(PaymentSchedule3[[#This Row],[Payment number]]&lt;&gt;"",SUM(INDEX(PaymentSchedule3[Interest],1,1):PaymentSchedule3[[#This Row],[Interest]]),"")</f>
        <v/>
      </c>
    </row>
    <row r="57" spans="2:11" ht="24" customHeight="1" x14ac:dyDescent="0.3">
      <c r="B57" s="31" t="str">
        <f ca="1">IF(LoanIsGood,IF(ROW()-ROW(PaymentSchedule3[[#Headers],[Payment number]])&gt;ScheduledNumberOfPayments,"",ROW()-ROW(PaymentSchedule3[[#Headers],[Payment number]])),"")</f>
        <v/>
      </c>
      <c r="C57" s="32" t="str">
        <f ca="1">IF(PaymentSchedule3[[#This Row],[Payment number]]&lt;&gt;"",EOMONTH(LoanStartDate,ROW(PaymentSchedule3[[#This Row],[Payment number]])-ROW(PaymentSchedule3[[#Headers],[Payment number]])-2)+DAY(LoanStartDate),"")</f>
        <v/>
      </c>
      <c r="D57" s="33" t="str">
        <f ca="1">IF(PaymentSchedule3[[#This Row],[Payment number]]&lt;&gt;"",IF(ROW()-ROW(PaymentSchedule3[[#Headers],[Beginning
balance]])=1,LoanAmount,INDEX(PaymentSchedule3[Ending
balance],ROW()-ROW(PaymentSchedule3[[#Headers],[Beginning
balance]])-1)),"")</f>
        <v/>
      </c>
      <c r="E57" s="33" t="str">
        <f ca="1">IF(PaymentSchedule3[[#This Row],[Payment number]]&lt;&gt;"",ScheduledPayment,"")</f>
        <v/>
      </c>
      <c r="F57"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57"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57" s="33" t="str">
        <f ca="1">IF(PaymentSchedule3[[#This Row],[Payment number]]&lt;&gt;"",PaymentSchedule3[[#This Row],[Total
payment]]-PaymentSchedule3[[#This Row],[Interest]],"")</f>
        <v/>
      </c>
      <c r="I57" s="33" t="str">
        <f ca="1">IF(PaymentSchedule3[[#This Row],[Payment number]]&lt;&gt;"",PaymentSchedule3[[#This Row],[Beginning
balance]]*(InterestRate/PaymentsPerYear),"")</f>
        <v/>
      </c>
      <c r="J57" s="33" t="str">
        <f ca="1">IF(PaymentSchedule3[[#This Row],[Payment number]]&lt;&gt;"",IF(PaymentSchedule3[[#This Row],[Scheduled payment]]+PaymentSchedule3[[#This Row],[Extra
payment]]&lt;=PaymentSchedule3[[#This Row],[Beginning
balance]],PaymentSchedule3[[#This Row],[Beginning
balance]]-PaymentSchedule3[[#This Row],[Principal]],0),"")</f>
        <v/>
      </c>
      <c r="K57" s="33" t="str">
        <f ca="1">IF(PaymentSchedule3[[#This Row],[Payment number]]&lt;&gt;"",SUM(INDEX(PaymentSchedule3[Interest],1,1):PaymentSchedule3[[#This Row],[Interest]]),"")</f>
        <v/>
      </c>
    </row>
    <row r="58" spans="2:11" ht="24" customHeight="1" x14ac:dyDescent="0.3">
      <c r="B58" s="31" t="str">
        <f ca="1">IF(LoanIsGood,IF(ROW()-ROW(PaymentSchedule3[[#Headers],[Payment number]])&gt;ScheduledNumberOfPayments,"",ROW()-ROW(PaymentSchedule3[[#Headers],[Payment number]])),"")</f>
        <v/>
      </c>
      <c r="C58" s="32" t="str">
        <f ca="1">IF(PaymentSchedule3[[#This Row],[Payment number]]&lt;&gt;"",EOMONTH(LoanStartDate,ROW(PaymentSchedule3[[#This Row],[Payment number]])-ROW(PaymentSchedule3[[#Headers],[Payment number]])-2)+DAY(LoanStartDate),"")</f>
        <v/>
      </c>
      <c r="D58" s="33" t="str">
        <f ca="1">IF(PaymentSchedule3[[#This Row],[Payment number]]&lt;&gt;"",IF(ROW()-ROW(PaymentSchedule3[[#Headers],[Beginning
balance]])=1,LoanAmount,INDEX(PaymentSchedule3[Ending
balance],ROW()-ROW(PaymentSchedule3[[#Headers],[Beginning
balance]])-1)),"")</f>
        <v/>
      </c>
      <c r="E58" s="33" t="str">
        <f ca="1">IF(PaymentSchedule3[[#This Row],[Payment number]]&lt;&gt;"",ScheduledPayment,"")</f>
        <v/>
      </c>
      <c r="F58"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58"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58" s="33" t="str">
        <f ca="1">IF(PaymentSchedule3[[#This Row],[Payment number]]&lt;&gt;"",PaymentSchedule3[[#This Row],[Total
payment]]-PaymentSchedule3[[#This Row],[Interest]],"")</f>
        <v/>
      </c>
      <c r="I58" s="33" t="str">
        <f ca="1">IF(PaymentSchedule3[[#This Row],[Payment number]]&lt;&gt;"",PaymentSchedule3[[#This Row],[Beginning
balance]]*(InterestRate/PaymentsPerYear),"")</f>
        <v/>
      </c>
      <c r="J58" s="33" t="str">
        <f ca="1">IF(PaymentSchedule3[[#This Row],[Payment number]]&lt;&gt;"",IF(PaymentSchedule3[[#This Row],[Scheduled payment]]+PaymentSchedule3[[#This Row],[Extra
payment]]&lt;=PaymentSchedule3[[#This Row],[Beginning
balance]],PaymentSchedule3[[#This Row],[Beginning
balance]]-PaymentSchedule3[[#This Row],[Principal]],0),"")</f>
        <v/>
      </c>
      <c r="K58" s="33" t="str">
        <f ca="1">IF(PaymentSchedule3[[#This Row],[Payment number]]&lt;&gt;"",SUM(INDEX(PaymentSchedule3[Interest],1,1):PaymentSchedule3[[#This Row],[Interest]]),"")</f>
        <v/>
      </c>
    </row>
    <row r="59" spans="2:11" ht="24" customHeight="1" x14ac:dyDescent="0.3">
      <c r="B59" s="31" t="str">
        <f ca="1">IF(LoanIsGood,IF(ROW()-ROW(PaymentSchedule3[[#Headers],[Payment number]])&gt;ScheduledNumberOfPayments,"",ROW()-ROW(PaymentSchedule3[[#Headers],[Payment number]])),"")</f>
        <v/>
      </c>
      <c r="C59" s="32" t="str">
        <f ca="1">IF(PaymentSchedule3[[#This Row],[Payment number]]&lt;&gt;"",EOMONTH(LoanStartDate,ROW(PaymentSchedule3[[#This Row],[Payment number]])-ROW(PaymentSchedule3[[#Headers],[Payment number]])-2)+DAY(LoanStartDate),"")</f>
        <v/>
      </c>
      <c r="D59" s="33" t="str">
        <f ca="1">IF(PaymentSchedule3[[#This Row],[Payment number]]&lt;&gt;"",IF(ROW()-ROW(PaymentSchedule3[[#Headers],[Beginning
balance]])=1,LoanAmount,INDEX(PaymentSchedule3[Ending
balance],ROW()-ROW(PaymentSchedule3[[#Headers],[Beginning
balance]])-1)),"")</f>
        <v/>
      </c>
      <c r="E59" s="33" t="str">
        <f ca="1">IF(PaymentSchedule3[[#This Row],[Payment number]]&lt;&gt;"",ScheduledPayment,"")</f>
        <v/>
      </c>
      <c r="F59"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59"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59" s="33" t="str">
        <f ca="1">IF(PaymentSchedule3[[#This Row],[Payment number]]&lt;&gt;"",PaymentSchedule3[[#This Row],[Total
payment]]-PaymentSchedule3[[#This Row],[Interest]],"")</f>
        <v/>
      </c>
      <c r="I59" s="33" t="str">
        <f ca="1">IF(PaymentSchedule3[[#This Row],[Payment number]]&lt;&gt;"",PaymentSchedule3[[#This Row],[Beginning
balance]]*(InterestRate/PaymentsPerYear),"")</f>
        <v/>
      </c>
      <c r="J59" s="33" t="str">
        <f ca="1">IF(PaymentSchedule3[[#This Row],[Payment number]]&lt;&gt;"",IF(PaymentSchedule3[[#This Row],[Scheduled payment]]+PaymentSchedule3[[#This Row],[Extra
payment]]&lt;=PaymentSchedule3[[#This Row],[Beginning
balance]],PaymentSchedule3[[#This Row],[Beginning
balance]]-PaymentSchedule3[[#This Row],[Principal]],0),"")</f>
        <v/>
      </c>
      <c r="K59" s="33" t="str">
        <f ca="1">IF(PaymentSchedule3[[#This Row],[Payment number]]&lt;&gt;"",SUM(INDEX(PaymentSchedule3[Interest],1,1):PaymentSchedule3[[#This Row],[Interest]]),"")</f>
        <v/>
      </c>
    </row>
    <row r="60" spans="2:11" ht="24" customHeight="1" x14ac:dyDescent="0.3">
      <c r="B60" s="31" t="str">
        <f ca="1">IF(LoanIsGood,IF(ROW()-ROW(PaymentSchedule3[[#Headers],[Payment number]])&gt;ScheduledNumberOfPayments,"",ROW()-ROW(PaymentSchedule3[[#Headers],[Payment number]])),"")</f>
        <v/>
      </c>
      <c r="C60" s="32" t="str">
        <f ca="1">IF(PaymentSchedule3[[#This Row],[Payment number]]&lt;&gt;"",EOMONTH(LoanStartDate,ROW(PaymentSchedule3[[#This Row],[Payment number]])-ROW(PaymentSchedule3[[#Headers],[Payment number]])-2)+DAY(LoanStartDate),"")</f>
        <v/>
      </c>
      <c r="D60" s="33" t="str">
        <f ca="1">IF(PaymentSchedule3[[#This Row],[Payment number]]&lt;&gt;"",IF(ROW()-ROW(PaymentSchedule3[[#Headers],[Beginning
balance]])=1,LoanAmount,INDEX(PaymentSchedule3[Ending
balance],ROW()-ROW(PaymentSchedule3[[#Headers],[Beginning
balance]])-1)),"")</f>
        <v/>
      </c>
      <c r="E60" s="33" t="str">
        <f ca="1">IF(PaymentSchedule3[[#This Row],[Payment number]]&lt;&gt;"",ScheduledPayment,"")</f>
        <v/>
      </c>
      <c r="F60"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60"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60" s="33" t="str">
        <f ca="1">IF(PaymentSchedule3[[#This Row],[Payment number]]&lt;&gt;"",PaymentSchedule3[[#This Row],[Total
payment]]-PaymentSchedule3[[#This Row],[Interest]],"")</f>
        <v/>
      </c>
      <c r="I60" s="33" t="str">
        <f ca="1">IF(PaymentSchedule3[[#This Row],[Payment number]]&lt;&gt;"",PaymentSchedule3[[#This Row],[Beginning
balance]]*(InterestRate/PaymentsPerYear),"")</f>
        <v/>
      </c>
      <c r="J60" s="33" t="str">
        <f ca="1">IF(PaymentSchedule3[[#This Row],[Payment number]]&lt;&gt;"",IF(PaymentSchedule3[[#This Row],[Scheduled payment]]+PaymentSchedule3[[#This Row],[Extra
payment]]&lt;=PaymentSchedule3[[#This Row],[Beginning
balance]],PaymentSchedule3[[#This Row],[Beginning
balance]]-PaymentSchedule3[[#This Row],[Principal]],0),"")</f>
        <v/>
      </c>
      <c r="K60" s="33" t="str">
        <f ca="1">IF(PaymentSchedule3[[#This Row],[Payment number]]&lt;&gt;"",SUM(INDEX(PaymentSchedule3[Interest],1,1):PaymentSchedule3[[#This Row],[Interest]]),"")</f>
        <v/>
      </c>
    </row>
    <row r="61" spans="2:11" ht="24" customHeight="1" x14ac:dyDescent="0.3">
      <c r="B61" s="31" t="str">
        <f ca="1">IF(LoanIsGood,IF(ROW()-ROW(PaymentSchedule3[[#Headers],[Payment number]])&gt;ScheduledNumberOfPayments,"",ROW()-ROW(PaymentSchedule3[[#Headers],[Payment number]])),"")</f>
        <v/>
      </c>
      <c r="C61" s="32" t="str">
        <f ca="1">IF(PaymentSchedule3[[#This Row],[Payment number]]&lt;&gt;"",EOMONTH(LoanStartDate,ROW(PaymentSchedule3[[#This Row],[Payment number]])-ROW(PaymentSchedule3[[#Headers],[Payment number]])-2)+DAY(LoanStartDate),"")</f>
        <v/>
      </c>
      <c r="D61" s="33" t="str">
        <f ca="1">IF(PaymentSchedule3[[#This Row],[Payment number]]&lt;&gt;"",IF(ROW()-ROW(PaymentSchedule3[[#Headers],[Beginning
balance]])=1,LoanAmount,INDEX(PaymentSchedule3[Ending
balance],ROW()-ROW(PaymentSchedule3[[#Headers],[Beginning
balance]])-1)),"")</f>
        <v/>
      </c>
      <c r="E61" s="33" t="str">
        <f ca="1">IF(PaymentSchedule3[[#This Row],[Payment number]]&lt;&gt;"",ScheduledPayment,"")</f>
        <v/>
      </c>
      <c r="F61"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61"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61" s="33" t="str">
        <f ca="1">IF(PaymentSchedule3[[#This Row],[Payment number]]&lt;&gt;"",PaymentSchedule3[[#This Row],[Total
payment]]-PaymentSchedule3[[#This Row],[Interest]],"")</f>
        <v/>
      </c>
      <c r="I61" s="33" t="str">
        <f ca="1">IF(PaymentSchedule3[[#This Row],[Payment number]]&lt;&gt;"",PaymentSchedule3[[#This Row],[Beginning
balance]]*(InterestRate/PaymentsPerYear),"")</f>
        <v/>
      </c>
      <c r="J61" s="33" t="str">
        <f ca="1">IF(PaymentSchedule3[[#This Row],[Payment number]]&lt;&gt;"",IF(PaymentSchedule3[[#This Row],[Scheduled payment]]+PaymentSchedule3[[#This Row],[Extra
payment]]&lt;=PaymentSchedule3[[#This Row],[Beginning
balance]],PaymentSchedule3[[#This Row],[Beginning
balance]]-PaymentSchedule3[[#This Row],[Principal]],0),"")</f>
        <v/>
      </c>
      <c r="K61" s="33" t="str">
        <f ca="1">IF(PaymentSchedule3[[#This Row],[Payment number]]&lt;&gt;"",SUM(INDEX(PaymentSchedule3[Interest],1,1):PaymentSchedule3[[#This Row],[Interest]]),"")</f>
        <v/>
      </c>
    </row>
    <row r="62" spans="2:11" ht="24" customHeight="1" x14ac:dyDescent="0.3">
      <c r="B62" s="31" t="str">
        <f ca="1">IF(LoanIsGood,IF(ROW()-ROW(PaymentSchedule3[[#Headers],[Payment number]])&gt;ScheduledNumberOfPayments,"",ROW()-ROW(PaymentSchedule3[[#Headers],[Payment number]])),"")</f>
        <v/>
      </c>
      <c r="C62" s="32" t="str">
        <f ca="1">IF(PaymentSchedule3[[#This Row],[Payment number]]&lt;&gt;"",EOMONTH(LoanStartDate,ROW(PaymentSchedule3[[#This Row],[Payment number]])-ROW(PaymentSchedule3[[#Headers],[Payment number]])-2)+DAY(LoanStartDate),"")</f>
        <v/>
      </c>
      <c r="D62" s="33" t="str">
        <f ca="1">IF(PaymentSchedule3[[#This Row],[Payment number]]&lt;&gt;"",IF(ROW()-ROW(PaymentSchedule3[[#Headers],[Beginning
balance]])=1,LoanAmount,INDEX(PaymentSchedule3[Ending
balance],ROW()-ROW(PaymentSchedule3[[#Headers],[Beginning
balance]])-1)),"")</f>
        <v/>
      </c>
      <c r="E62" s="33" t="str">
        <f ca="1">IF(PaymentSchedule3[[#This Row],[Payment number]]&lt;&gt;"",ScheduledPayment,"")</f>
        <v/>
      </c>
      <c r="F62"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62"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62" s="33" t="str">
        <f ca="1">IF(PaymentSchedule3[[#This Row],[Payment number]]&lt;&gt;"",PaymentSchedule3[[#This Row],[Total
payment]]-PaymentSchedule3[[#This Row],[Interest]],"")</f>
        <v/>
      </c>
      <c r="I62" s="33" t="str">
        <f ca="1">IF(PaymentSchedule3[[#This Row],[Payment number]]&lt;&gt;"",PaymentSchedule3[[#This Row],[Beginning
balance]]*(InterestRate/PaymentsPerYear),"")</f>
        <v/>
      </c>
      <c r="J62" s="33" t="str">
        <f ca="1">IF(PaymentSchedule3[[#This Row],[Payment number]]&lt;&gt;"",IF(PaymentSchedule3[[#This Row],[Scheduled payment]]+PaymentSchedule3[[#This Row],[Extra
payment]]&lt;=PaymentSchedule3[[#This Row],[Beginning
balance]],PaymentSchedule3[[#This Row],[Beginning
balance]]-PaymentSchedule3[[#This Row],[Principal]],0),"")</f>
        <v/>
      </c>
      <c r="K62" s="33" t="str">
        <f ca="1">IF(PaymentSchedule3[[#This Row],[Payment number]]&lt;&gt;"",SUM(INDEX(PaymentSchedule3[Interest],1,1):PaymentSchedule3[[#This Row],[Interest]]),"")</f>
        <v/>
      </c>
    </row>
    <row r="63" spans="2:11" ht="24" customHeight="1" x14ac:dyDescent="0.3">
      <c r="B63" s="31" t="str">
        <f ca="1">IF(LoanIsGood,IF(ROW()-ROW(PaymentSchedule3[[#Headers],[Payment number]])&gt;ScheduledNumberOfPayments,"",ROW()-ROW(PaymentSchedule3[[#Headers],[Payment number]])),"")</f>
        <v/>
      </c>
      <c r="C63" s="32" t="str">
        <f ca="1">IF(PaymentSchedule3[[#This Row],[Payment number]]&lt;&gt;"",EOMONTH(LoanStartDate,ROW(PaymentSchedule3[[#This Row],[Payment number]])-ROW(PaymentSchedule3[[#Headers],[Payment number]])-2)+DAY(LoanStartDate),"")</f>
        <v/>
      </c>
      <c r="D63" s="33" t="str">
        <f ca="1">IF(PaymentSchedule3[[#This Row],[Payment number]]&lt;&gt;"",IF(ROW()-ROW(PaymentSchedule3[[#Headers],[Beginning
balance]])=1,LoanAmount,INDEX(PaymentSchedule3[Ending
balance],ROW()-ROW(PaymentSchedule3[[#Headers],[Beginning
balance]])-1)),"")</f>
        <v/>
      </c>
      <c r="E63" s="33" t="str">
        <f ca="1">IF(PaymentSchedule3[[#This Row],[Payment number]]&lt;&gt;"",ScheduledPayment,"")</f>
        <v/>
      </c>
      <c r="F63"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63"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63" s="33" t="str">
        <f ca="1">IF(PaymentSchedule3[[#This Row],[Payment number]]&lt;&gt;"",PaymentSchedule3[[#This Row],[Total
payment]]-PaymentSchedule3[[#This Row],[Interest]],"")</f>
        <v/>
      </c>
      <c r="I63" s="33" t="str">
        <f ca="1">IF(PaymentSchedule3[[#This Row],[Payment number]]&lt;&gt;"",PaymentSchedule3[[#This Row],[Beginning
balance]]*(InterestRate/PaymentsPerYear),"")</f>
        <v/>
      </c>
      <c r="J63" s="33" t="str">
        <f ca="1">IF(PaymentSchedule3[[#This Row],[Payment number]]&lt;&gt;"",IF(PaymentSchedule3[[#This Row],[Scheduled payment]]+PaymentSchedule3[[#This Row],[Extra
payment]]&lt;=PaymentSchedule3[[#This Row],[Beginning
balance]],PaymentSchedule3[[#This Row],[Beginning
balance]]-PaymentSchedule3[[#This Row],[Principal]],0),"")</f>
        <v/>
      </c>
      <c r="K63" s="33" t="str">
        <f ca="1">IF(PaymentSchedule3[[#This Row],[Payment number]]&lt;&gt;"",SUM(INDEX(PaymentSchedule3[Interest],1,1):PaymentSchedule3[[#This Row],[Interest]]),"")</f>
        <v/>
      </c>
    </row>
    <row r="64" spans="2:11" ht="24" customHeight="1" x14ac:dyDescent="0.3">
      <c r="B64" s="31" t="str">
        <f ca="1">IF(LoanIsGood,IF(ROW()-ROW(PaymentSchedule3[[#Headers],[Payment number]])&gt;ScheduledNumberOfPayments,"",ROW()-ROW(PaymentSchedule3[[#Headers],[Payment number]])),"")</f>
        <v/>
      </c>
      <c r="C64" s="32" t="str">
        <f ca="1">IF(PaymentSchedule3[[#This Row],[Payment number]]&lt;&gt;"",EOMONTH(LoanStartDate,ROW(PaymentSchedule3[[#This Row],[Payment number]])-ROW(PaymentSchedule3[[#Headers],[Payment number]])-2)+DAY(LoanStartDate),"")</f>
        <v/>
      </c>
      <c r="D64" s="33" t="str">
        <f ca="1">IF(PaymentSchedule3[[#This Row],[Payment number]]&lt;&gt;"",IF(ROW()-ROW(PaymentSchedule3[[#Headers],[Beginning
balance]])=1,LoanAmount,INDEX(PaymentSchedule3[Ending
balance],ROW()-ROW(PaymentSchedule3[[#Headers],[Beginning
balance]])-1)),"")</f>
        <v/>
      </c>
      <c r="E64" s="33" t="str">
        <f ca="1">IF(PaymentSchedule3[[#This Row],[Payment number]]&lt;&gt;"",ScheduledPayment,"")</f>
        <v/>
      </c>
      <c r="F64"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64"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64" s="33" t="str">
        <f ca="1">IF(PaymentSchedule3[[#This Row],[Payment number]]&lt;&gt;"",PaymentSchedule3[[#This Row],[Total
payment]]-PaymentSchedule3[[#This Row],[Interest]],"")</f>
        <v/>
      </c>
      <c r="I64" s="33" t="str">
        <f ca="1">IF(PaymentSchedule3[[#This Row],[Payment number]]&lt;&gt;"",PaymentSchedule3[[#This Row],[Beginning
balance]]*(InterestRate/PaymentsPerYear),"")</f>
        <v/>
      </c>
      <c r="J64" s="33" t="str">
        <f ca="1">IF(PaymentSchedule3[[#This Row],[Payment number]]&lt;&gt;"",IF(PaymentSchedule3[[#This Row],[Scheduled payment]]+PaymentSchedule3[[#This Row],[Extra
payment]]&lt;=PaymentSchedule3[[#This Row],[Beginning
balance]],PaymentSchedule3[[#This Row],[Beginning
balance]]-PaymentSchedule3[[#This Row],[Principal]],0),"")</f>
        <v/>
      </c>
      <c r="K64" s="33" t="str">
        <f ca="1">IF(PaymentSchedule3[[#This Row],[Payment number]]&lt;&gt;"",SUM(INDEX(PaymentSchedule3[Interest],1,1):PaymentSchedule3[[#This Row],[Interest]]),"")</f>
        <v/>
      </c>
    </row>
    <row r="65" spans="2:11" ht="24" customHeight="1" x14ac:dyDescent="0.3">
      <c r="B65" s="31" t="str">
        <f ca="1">IF(LoanIsGood,IF(ROW()-ROW(PaymentSchedule3[[#Headers],[Payment number]])&gt;ScheduledNumberOfPayments,"",ROW()-ROW(PaymentSchedule3[[#Headers],[Payment number]])),"")</f>
        <v/>
      </c>
      <c r="C65" s="32" t="str">
        <f ca="1">IF(PaymentSchedule3[[#This Row],[Payment number]]&lt;&gt;"",EOMONTH(LoanStartDate,ROW(PaymentSchedule3[[#This Row],[Payment number]])-ROW(PaymentSchedule3[[#Headers],[Payment number]])-2)+DAY(LoanStartDate),"")</f>
        <v/>
      </c>
      <c r="D65" s="33" t="str">
        <f ca="1">IF(PaymentSchedule3[[#This Row],[Payment number]]&lt;&gt;"",IF(ROW()-ROW(PaymentSchedule3[[#Headers],[Beginning
balance]])=1,LoanAmount,INDEX(PaymentSchedule3[Ending
balance],ROW()-ROW(PaymentSchedule3[[#Headers],[Beginning
balance]])-1)),"")</f>
        <v/>
      </c>
      <c r="E65" s="33" t="str">
        <f ca="1">IF(PaymentSchedule3[[#This Row],[Payment number]]&lt;&gt;"",ScheduledPayment,"")</f>
        <v/>
      </c>
      <c r="F65"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65"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65" s="33" t="str">
        <f ca="1">IF(PaymentSchedule3[[#This Row],[Payment number]]&lt;&gt;"",PaymentSchedule3[[#This Row],[Total
payment]]-PaymentSchedule3[[#This Row],[Interest]],"")</f>
        <v/>
      </c>
      <c r="I65" s="33" t="str">
        <f ca="1">IF(PaymentSchedule3[[#This Row],[Payment number]]&lt;&gt;"",PaymentSchedule3[[#This Row],[Beginning
balance]]*(InterestRate/PaymentsPerYear),"")</f>
        <v/>
      </c>
      <c r="J65" s="33" t="str">
        <f ca="1">IF(PaymentSchedule3[[#This Row],[Payment number]]&lt;&gt;"",IF(PaymentSchedule3[[#This Row],[Scheduled payment]]+PaymentSchedule3[[#This Row],[Extra
payment]]&lt;=PaymentSchedule3[[#This Row],[Beginning
balance]],PaymentSchedule3[[#This Row],[Beginning
balance]]-PaymentSchedule3[[#This Row],[Principal]],0),"")</f>
        <v/>
      </c>
      <c r="K65" s="33" t="str">
        <f ca="1">IF(PaymentSchedule3[[#This Row],[Payment number]]&lt;&gt;"",SUM(INDEX(PaymentSchedule3[Interest],1,1):PaymentSchedule3[[#This Row],[Interest]]),"")</f>
        <v/>
      </c>
    </row>
    <row r="66" spans="2:11" ht="24" customHeight="1" x14ac:dyDescent="0.3">
      <c r="B66" s="31" t="str">
        <f ca="1">IF(LoanIsGood,IF(ROW()-ROW(PaymentSchedule3[[#Headers],[Payment number]])&gt;ScheduledNumberOfPayments,"",ROW()-ROW(PaymentSchedule3[[#Headers],[Payment number]])),"")</f>
        <v/>
      </c>
      <c r="C66" s="32" t="str">
        <f ca="1">IF(PaymentSchedule3[[#This Row],[Payment number]]&lt;&gt;"",EOMONTH(LoanStartDate,ROW(PaymentSchedule3[[#This Row],[Payment number]])-ROW(PaymentSchedule3[[#Headers],[Payment number]])-2)+DAY(LoanStartDate),"")</f>
        <v/>
      </c>
      <c r="D66" s="33" t="str">
        <f ca="1">IF(PaymentSchedule3[[#This Row],[Payment number]]&lt;&gt;"",IF(ROW()-ROW(PaymentSchedule3[[#Headers],[Beginning
balance]])=1,LoanAmount,INDEX(PaymentSchedule3[Ending
balance],ROW()-ROW(PaymentSchedule3[[#Headers],[Beginning
balance]])-1)),"")</f>
        <v/>
      </c>
      <c r="E66" s="33" t="str">
        <f ca="1">IF(PaymentSchedule3[[#This Row],[Payment number]]&lt;&gt;"",ScheduledPayment,"")</f>
        <v/>
      </c>
      <c r="F66"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66"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66" s="33" t="str">
        <f ca="1">IF(PaymentSchedule3[[#This Row],[Payment number]]&lt;&gt;"",PaymentSchedule3[[#This Row],[Total
payment]]-PaymentSchedule3[[#This Row],[Interest]],"")</f>
        <v/>
      </c>
      <c r="I66" s="33" t="str">
        <f ca="1">IF(PaymentSchedule3[[#This Row],[Payment number]]&lt;&gt;"",PaymentSchedule3[[#This Row],[Beginning
balance]]*(InterestRate/PaymentsPerYear),"")</f>
        <v/>
      </c>
      <c r="J66" s="33" t="str">
        <f ca="1">IF(PaymentSchedule3[[#This Row],[Payment number]]&lt;&gt;"",IF(PaymentSchedule3[[#This Row],[Scheduled payment]]+PaymentSchedule3[[#This Row],[Extra
payment]]&lt;=PaymentSchedule3[[#This Row],[Beginning
balance]],PaymentSchedule3[[#This Row],[Beginning
balance]]-PaymentSchedule3[[#This Row],[Principal]],0),"")</f>
        <v/>
      </c>
      <c r="K66" s="33" t="str">
        <f ca="1">IF(PaymentSchedule3[[#This Row],[Payment number]]&lt;&gt;"",SUM(INDEX(PaymentSchedule3[Interest],1,1):PaymentSchedule3[[#This Row],[Interest]]),"")</f>
        <v/>
      </c>
    </row>
    <row r="67" spans="2:11" ht="24" customHeight="1" x14ac:dyDescent="0.3">
      <c r="B67" s="31" t="str">
        <f ca="1">IF(LoanIsGood,IF(ROW()-ROW(PaymentSchedule3[[#Headers],[Payment number]])&gt;ScheduledNumberOfPayments,"",ROW()-ROW(PaymentSchedule3[[#Headers],[Payment number]])),"")</f>
        <v/>
      </c>
      <c r="C67" s="32" t="str">
        <f ca="1">IF(PaymentSchedule3[[#This Row],[Payment number]]&lt;&gt;"",EOMONTH(LoanStartDate,ROW(PaymentSchedule3[[#This Row],[Payment number]])-ROW(PaymentSchedule3[[#Headers],[Payment number]])-2)+DAY(LoanStartDate),"")</f>
        <v/>
      </c>
      <c r="D67" s="33" t="str">
        <f ca="1">IF(PaymentSchedule3[[#This Row],[Payment number]]&lt;&gt;"",IF(ROW()-ROW(PaymentSchedule3[[#Headers],[Beginning
balance]])=1,LoanAmount,INDEX(PaymentSchedule3[Ending
balance],ROW()-ROW(PaymentSchedule3[[#Headers],[Beginning
balance]])-1)),"")</f>
        <v/>
      </c>
      <c r="E67" s="33" t="str">
        <f ca="1">IF(PaymentSchedule3[[#This Row],[Payment number]]&lt;&gt;"",ScheduledPayment,"")</f>
        <v/>
      </c>
      <c r="F67"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67"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67" s="33" t="str">
        <f ca="1">IF(PaymentSchedule3[[#This Row],[Payment number]]&lt;&gt;"",PaymentSchedule3[[#This Row],[Total
payment]]-PaymentSchedule3[[#This Row],[Interest]],"")</f>
        <v/>
      </c>
      <c r="I67" s="33" t="str">
        <f ca="1">IF(PaymentSchedule3[[#This Row],[Payment number]]&lt;&gt;"",PaymentSchedule3[[#This Row],[Beginning
balance]]*(InterestRate/PaymentsPerYear),"")</f>
        <v/>
      </c>
      <c r="J67" s="33" t="str">
        <f ca="1">IF(PaymentSchedule3[[#This Row],[Payment number]]&lt;&gt;"",IF(PaymentSchedule3[[#This Row],[Scheduled payment]]+PaymentSchedule3[[#This Row],[Extra
payment]]&lt;=PaymentSchedule3[[#This Row],[Beginning
balance]],PaymentSchedule3[[#This Row],[Beginning
balance]]-PaymentSchedule3[[#This Row],[Principal]],0),"")</f>
        <v/>
      </c>
      <c r="K67" s="33" t="str">
        <f ca="1">IF(PaymentSchedule3[[#This Row],[Payment number]]&lt;&gt;"",SUM(INDEX(PaymentSchedule3[Interest],1,1):PaymentSchedule3[[#This Row],[Interest]]),"")</f>
        <v/>
      </c>
    </row>
    <row r="68" spans="2:11" ht="24" customHeight="1" x14ac:dyDescent="0.3">
      <c r="B68" s="31" t="str">
        <f ca="1">IF(LoanIsGood,IF(ROW()-ROW(PaymentSchedule3[[#Headers],[Payment number]])&gt;ScheduledNumberOfPayments,"",ROW()-ROW(PaymentSchedule3[[#Headers],[Payment number]])),"")</f>
        <v/>
      </c>
      <c r="C68" s="32" t="str">
        <f ca="1">IF(PaymentSchedule3[[#This Row],[Payment number]]&lt;&gt;"",EOMONTH(LoanStartDate,ROW(PaymentSchedule3[[#This Row],[Payment number]])-ROW(PaymentSchedule3[[#Headers],[Payment number]])-2)+DAY(LoanStartDate),"")</f>
        <v/>
      </c>
      <c r="D68" s="33" t="str">
        <f ca="1">IF(PaymentSchedule3[[#This Row],[Payment number]]&lt;&gt;"",IF(ROW()-ROW(PaymentSchedule3[[#Headers],[Beginning
balance]])=1,LoanAmount,INDEX(PaymentSchedule3[Ending
balance],ROW()-ROW(PaymentSchedule3[[#Headers],[Beginning
balance]])-1)),"")</f>
        <v/>
      </c>
      <c r="E68" s="33" t="str">
        <f ca="1">IF(PaymentSchedule3[[#This Row],[Payment number]]&lt;&gt;"",ScheduledPayment,"")</f>
        <v/>
      </c>
      <c r="F68"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68"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68" s="33" t="str">
        <f ca="1">IF(PaymentSchedule3[[#This Row],[Payment number]]&lt;&gt;"",PaymentSchedule3[[#This Row],[Total
payment]]-PaymentSchedule3[[#This Row],[Interest]],"")</f>
        <v/>
      </c>
      <c r="I68" s="33" t="str">
        <f ca="1">IF(PaymentSchedule3[[#This Row],[Payment number]]&lt;&gt;"",PaymentSchedule3[[#This Row],[Beginning
balance]]*(InterestRate/PaymentsPerYear),"")</f>
        <v/>
      </c>
      <c r="J68" s="33" t="str">
        <f ca="1">IF(PaymentSchedule3[[#This Row],[Payment number]]&lt;&gt;"",IF(PaymentSchedule3[[#This Row],[Scheduled payment]]+PaymentSchedule3[[#This Row],[Extra
payment]]&lt;=PaymentSchedule3[[#This Row],[Beginning
balance]],PaymentSchedule3[[#This Row],[Beginning
balance]]-PaymentSchedule3[[#This Row],[Principal]],0),"")</f>
        <v/>
      </c>
      <c r="K68" s="33" t="str">
        <f ca="1">IF(PaymentSchedule3[[#This Row],[Payment number]]&lt;&gt;"",SUM(INDEX(PaymentSchedule3[Interest],1,1):PaymentSchedule3[[#This Row],[Interest]]),"")</f>
        <v/>
      </c>
    </row>
    <row r="69" spans="2:11" ht="24" customHeight="1" x14ac:dyDescent="0.3">
      <c r="B69" s="31" t="str">
        <f ca="1">IF(LoanIsGood,IF(ROW()-ROW(PaymentSchedule3[[#Headers],[Payment number]])&gt;ScheduledNumberOfPayments,"",ROW()-ROW(PaymentSchedule3[[#Headers],[Payment number]])),"")</f>
        <v/>
      </c>
      <c r="C69" s="32" t="str">
        <f ca="1">IF(PaymentSchedule3[[#This Row],[Payment number]]&lt;&gt;"",EOMONTH(LoanStartDate,ROW(PaymentSchedule3[[#This Row],[Payment number]])-ROW(PaymentSchedule3[[#Headers],[Payment number]])-2)+DAY(LoanStartDate),"")</f>
        <v/>
      </c>
      <c r="D69" s="33" t="str">
        <f ca="1">IF(PaymentSchedule3[[#This Row],[Payment number]]&lt;&gt;"",IF(ROW()-ROW(PaymentSchedule3[[#Headers],[Beginning
balance]])=1,LoanAmount,INDEX(PaymentSchedule3[Ending
balance],ROW()-ROW(PaymentSchedule3[[#Headers],[Beginning
balance]])-1)),"")</f>
        <v/>
      </c>
      <c r="E69" s="33" t="str">
        <f ca="1">IF(PaymentSchedule3[[#This Row],[Payment number]]&lt;&gt;"",ScheduledPayment,"")</f>
        <v/>
      </c>
      <c r="F69"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69"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69" s="33" t="str">
        <f ca="1">IF(PaymentSchedule3[[#This Row],[Payment number]]&lt;&gt;"",PaymentSchedule3[[#This Row],[Total
payment]]-PaymentSchedule3[[#This Row],[Interest]],"")</f>
        <v/>
      </c>
      <c r="I69" s="33" t="str">
        <f ca="1">IF(PaymentSchedule3[[#This Row],[Payment number]]&lt;&gt;"",PaymentSchedule3[[#This Row],[Beginning
balance]]*(InterestRate/PaymentsPerYear),"")</f>
        <v/>
      </c>
      <c r="J69" s="33" t="str">
        <f ca="1">IF(PaymentSchedule3[[#This Row],[Payment number]]&lt;&gt;"",IF(PaymentSchedule3[[#This Row],[Scheduled payment]]+PaymentSchedule3[[#This Row],[Extra
payment]]&lt;=PaymentSchedule3[[#This Row],[Beginning
balance]],PaymentSchedule3[[#This Row],[Beginning
balance]]-PaymentSchedule3[[#This Row],[Principal]],0),"")</f>
        <v/>
      </c>
      <c r="K69" s="33" t="str">
        <f ca="1">IF(PaymentSchedule3[[#This Row],[Payment number]]&lt;&gt;"",SUM(INDEX(PaymentSchedule3[Interest],1,1):PaymentSchedule3[[#This Row],[Interest]]),"")</f>
        <v/>
      </c>
    </row>
    <row r="70" spans="2:11" ht="24" customHeight="1" x14ac:dyDescent="0.3">
      <c r="B70" s="31" t="str">
        <f ca="1">IF(LoanIsGood,IF(ROW()-ROW(PaymentSchedule3[[#Headers],[Payment number]])&gt;ScheduledNumberOfPayments,"",ROW()-ROW(PaymentSchedule3[[#Headers],[Payment number]])),"")</f>
        <v/>
      </c>
      <c r="C70" s="32" t="str">
        <f ca="1">IF(PaymentSchedule3[[#This Row],[Payment number]]&lt;&gt;"",EOMONTH(LoanStartDate,ROW(PaymentSchedule3[[#This Row],[Payment number]])-ROW(PaymentSchedule3[[#Headers],[Payment number]])-2)+DAY(LoanStartDate),"")</f>
        <v/>
      </c>
      <c r="D70" s="33" t="str">
        <f ca="1">IF(PaymentSchedule3[[#This Row],[Payment number]]&lt;&gt;"",IF(ROW()-ROW(PaymentSchedule3[[#Headers],[Beginning
balance]])=1,LoanAmount,INDEX(PaymentSchedule3[Ending
balance],ROW()-ROW(PaymentSchedule3[[#Headers],[Beginning
balance]])-1)),"")</f>
        <v/>
      </c>
      <c r="E70" s="33" t="str">
        <f ca="1">IF(PaymentSchedule3[[#This Row],[Payment number]]&lt;&gt;"",ScheduledPayment,"")</f>
        <v/>
      </c>
      <c r="F70"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70"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70" s="33" t="str">
        <f ca="1">IF(PaymentSchedule3[[#This Row],[Payment number]]&lt;&gt;"",PaymentSchedule3[[#This Row],[Total
payment]]-PaymentSchedule3[[#This Row],[Interest]],"")</f>
        <v/>
      </c>
      <c r="I70" s="33" t="str">
        <f ca="1">IF(PaymentSchedule3[[#This Row],[Payment number]]&lt;&gt;"",PaymentSchedule3[[#This Row],[Beginning
balance]]*(InterestRate/PaymentsPerYear),"")</f>
        <v/>
      </c>
      <c r="J70" s="33" t="str">
        <f ca="1">IF(PaymentSchedule3[[#This Row],[Payment number]]&lt;&gt;"",IF(PaymentSchedule3[[#This Row],[Scheduled payment]]+PaymentSchedule3[[#This Row],[Extra
payment]]&lt;=PaymentSchedule3[[#This Row],[Beginning
balance]],PaymentSchedule3[[#This Row],[Beginning
balance]]-PaymentSchedule3[[#This Row],[Principal]],0),"")</f>
        <v/>
      </c>
      <c r="K70" s="33" t="str">
        <f ca="1">IF(PaymentSchedule3[[#This Row],[Payment number]]&lt;&gt;"",SUM(INDEX(PaymentSchedule3[Interest],1,1):PaymentSchedule3[[#This Row],[Interest]]),"")</f>
        <v/>
      </c>
    </row>
    <row r="71" spans="2:11" ht="24" customHeight="1" x14ac:dyDescent="0.3">
      <c r="B71" s="31" t="str">
        <f ca="1">IF(LoanIsGood,IF(ROW()-ROW(PaymentSchedule3[[#Headers],[Payment number]])&gt;ScheduledNumberOfPayments,"",ROW()-ROW(PaymentSchedule3[[#Headers],[Payment number]])),"")</f>
        <v/>
      </c>
      <c r="C71" s="32" t="str">
        <f ca="1">IF(PaymentSchedule3[[#This Row],[Payment number]]&lt;&gt;"",EOMONTH(LoanStartDate,ROW(PaymentSchedule3[[#This Row],[Payment number]])-ROW(PaymentSchedule3[[#Headers],[Payment number]])-2)+DAY(LoanStartDate),"")</f>
        <v/>
      </c>
      <c r="D71" s="33" t="str">
        <f ca="1">IF(PaymentSchedule3[[#This Row],[Payment number]]&lt;&gt;"",IF(ROW()-ROW(PaymentSchedule3[[#Headers],[Beginning
balance]])=1,LoanAmount,INDEX(PaymentSchedule3[Ending
balance],ROW()-ROW(PaymentSchedule3[[#Headers],[Beginning
balance]])-1)),"")</f>
        <v/>
      </c>
      <c r="E71" s="33" t="str">
        <f ca="1">IF(PaymentSchedule3[[#This Row],[Payment number]]&lt;&gt;"",ScheduledPayment,"")</f>
        <v/>
      </c>
      <c r="F71"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71"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71" s="33" t="str">
        <f ca="1">IF(PaymentSchedule3[[#This Row],[Payment number]]&lt;&gt;"",PaymentSchedule3[[#This Row],[Total
payment]]-PaymentSchedule3[[#This Row],[Interest]],"")</f>
        <v/>
      </c>
      <c r="I71" s="33" t="str">
        <f ca="1">IF(PaymentSchedule3[[#This Row],[Payment number]]&lt;&gt;"",PaymentSchedule3[[#This Row],[Beginning
balance]]*(InterestRate/PaymentsPerYear),"")</f>
        <v/>
      </c>
      <c r="J71" s="33" t="str">
        <f ca="1">IF(PaymentSchedule3[[#This Row],[Payment number]]&lt;&gt;"",IF(PaymentSchedule3[[#This Row],[Scheduled payment]]+PaymentSchedule3[[#This Row],[Extra
payment]]&lt;=PaymentSchedule3[[#This Row],[Beginning
balance]],PaymentSchedule3[[#This Row],[Beginning
balance]]-PaymentSchedule3[[#This Row],[Principal]],0),"")</f>
        <v/>
      </c>
      <c r="K71" s="33" t="str">
        <f ca="1">IF(PaymentSchedule3[[#This Row],[Payment number]]&lt;&gt;"",SUM(INDEX(PaymentSchedule3[Interest],1,1):PaymentSchedule3[[#This Row],[Interest]]),"")</f>
        <v/>
      </c>
    </row>
    <row r="72" spans="2:11" ht="24" customHeight="1" x14ac:dyDescent="0.3">
      <c r="B72" s="31" t="str">
        <f ca="1">IF(LoanIsGood,IF(ROW()-ROW(PaymentSchedule3[[#Headers],[Payment number]])&gt;ScheduledNumberOfPayments,"",ROW()-ROW(PaymentSchedule3[[#Headers],[Payment number]])),"")</f>
        <v/>
      </c>
      <c r="C72" s="32" t="str">
        <f ca="1">IF(PaymentSchedule3[[#This Row],[Payment number]]&lt;&gt;"",EOMONTH(LoanStartDate,ROW(PaymentSchedule3[[#This Row],[Payment number]])-ROW(PaymentSchedule3[[#Headers],[Payment number]])-2)+DAY(LoanStartDate),"")</f>
        <v/>
      </c>
      <c r="D72" s="33" t="str">
        <f ca="1">IF(PaymentSchedule3[[#This Row],[Payment number]]&lt;&gt;"",IF(ROW()-ROW(PaymentSchedule3[[#Headers],[Beginning
balance]])=1,LoanAmount,INDEX(PaymentSchedule3[Ending
balance],ROW()-ROW(PaymentSchedule3[[#Headers],[Beginning
balance]])-1)),"")</f>
        <v/>
      </c>
      <c r="E72" s="33" t="str">
        <f ca="1">IF(PaymentSchedule3[[#This Row],[Payment number]]&lt;&gt;"",ScheduledPayment,"")</f>
        <v/>
      </c>
      <c r="F72"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72"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72" s="33" t="str">
        <f ca="1">IF(PaymentSchedule3[[#This Row],[Payment number]]&lt;&gt;"",PaymentSchedule3[[#This Row],[Total
payment]]-PaymentSchedule3[[#This Row],[Interest]],"")</f>
        <v/>
      </c>
      <c r="I72" s="33" t="str">
        <f ca="1">IF(PaymentSchedule3[[#This Row],[Payment number]]&lt;&gt;"",PaymentSchedule3[[#This Row],[Beginning
balance]]*(InterestRate/PaymentsPerYear),"")</f>
        <v/>
      </c>
      <c r="J72" s="33" t="str">
        <f ca="1">IF(PaymentSchedule3[[#This Row],[Payment number]]&lt;&gt;"",IF(PaymentSchedule3[[#This Row],[Scheduled payment]]+PaymentSchedule3[[#This Row],[Extra
payment]]&lt;=PaymentSchedule3[[#This Row],[Beginning
balance]],PaymentSchedule3[[#This Row],[Beginning
balance]]-PaymentSchedule3[[#This Row],[Principal]],0),"")</f>
        <v/>
      </c>
      <c r="K72" s="33" t="str">
        <f ca="1">IF(PaymentSchedule3[[#This Row],[Payment number]]&lt;&gt;"",SUM(INDEX(PaymentSchedule3[Interest],1,1):PaymentSchedule3[[#This Row],[Interest]]),"")</f>
        <v/>
      </c>
    </row>
    <row r="73" spans="2:11" ht="24" customHeight="1" x14ac:dyDescent="0.3">
      <c r="B73" s="31" t="str">
        <f ca="1">IF(LoanIsGood,IF(ROW()-ROW(PaymentSchedule3[[#Headers],[Payment number]])&gt;ScheduledNumberOfPayments,"",ROW()-ROW(PaymentSchedule3[[#Headers],[Payment number]])),"")</f>
        <v/>
      </c>
      <c r="C73" s="32" t="str">
        <f ca="1">IF(PaymentSchedule3[[#This Row],[Payment number]]&lt;&gt;"",EOMONTH(LoanStartDate,ROW(PaymentSchedule3[[#This Row],[Payment number]])-ROW(PaymentSchedule3[[#Headers],[Payment number]])-2)+DAY(LoanStartDate),"")</f>
        <v/>
      </c>
      <c r="D73" s="33" t="str">
        <f ca="1">IF(PaymentSchedule3[[#This Row],[Payment number]]&lt;&gt;"",IF(ROW()-ROW(PaymentSchedule3[[#Headers],[Beginning
balance]])=1,LoanAmount,INDEX(PaymentSchedule3[Ending
balance],ROW()-ROW(PaymentSchedule3[[#Headers],[Beginning
balance]])-1)),"")</f>
        <v/>
      </c>
      <c r="E73" s="33" t="str">
        <f ca="1">IF(PaymentSchedule3[[#This Row],[Payment number]]&lt;&gt;"",ScheduledPayment,"")</f>
        <v/>
      </c>
      <c r="F73"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73"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73" s="33" t="str">
        <f ca="1">IF(PaymentSchedule3[[#This Row],[Payment number]]&lt;&gt;"",PaymentSchedule3[[#This Row],[Total
payment]]-PaymentSchedule3[[#This Row],[Interest]],"")</f>
        <v/>
      </c>
      <c r="I73" s="33" t="str">
        <f ca="1">IF(PaymentSchedule3[[#This Row],[Payment number]]&lt;&gt;"",PaymentSchedule3[[#This Row],[Beginning
balance]]*(InterestRate/PaymentsPerYear),"")</f>
        <v/>
      </c>
      <c r="J73" s="33" t="str">
        <f ca="1">IF(PaymentSchedule3[[#This Row],[Payment number]]&lt;&gt;"",IF(PaymentSchedule3[[#This Row],[Scheduled payment]]+PaymentSchedule3[[#This Row],[Extra
payment]]&lt;=PaymentSchedule3[[#This Row],[Beginning
balance]],PaymentSchedule3[[#This Row],[Beginning
balance]]-PaymentSchedule3[[#This Row],[Principal]],0),"")</f>
        <v/>
      </c>
      <c r="K73" s="33" t="str">
        <f ca="1">IF(PaymentSchedule3[[#This Row],[Payment number]]&lt;&gt;"",SUM(INDEX(PaymentSchedule3[Interest],1,1):PaymentSchedule3[[#This Row],[Interest]]),"")</f>
        <v/>
      </c>
    </row>
    <row r="74" spans="2:11" ht="24" customHeight="1" x14ac:dyDescent="0.3">
      <c r="B74" s="31" t="str">
        <f ca="1">IF(LoanIsGood,IF(ROW()-ROW(PaymentSchedule3[[#Headers],[Payment number]])&gt;ScheduledNumberOfPayments,"",ROW()-ROW(PaymentSchedule3[[#Headers],[Payment number]])),"")</f>
        <v/>
      </c>
      <c r="C74" s="32" t="str">
        <f ca="1">IF(PaymentSchedule3[[#This Row],[Payment number]]&lt;&gt;"",EOMONTH(LoanStartDate,ROW(PaymentSchedule3[[#This Row],[Payment number]])-ROW(PaymentSchedule3[[#Headers],[Payment number]])-2)+DAY(LoanStartDate),"")</f>
        <v/>
      </c>
      <c r="D74" s="33" t="str">
        <f ca="1">IF(PaymentSchedule3[[#This Row],[Payment number]]&lt;&gt;"",IF(ROW()-ROW(PaymentSchedule3[[#Headers],[Beginning
balance]])=1,LoanAmount,INDEX(PaymentSchedule3[Ending
balance],ROW()-ROW(PaymentSchedule3[[#Headers],[Beginning
balance]])-1)),"")</f>
        <v/>
      </c>
      <c r="E74" s="33" t="str">
        <f ca="1">IF(PaymentSchedule3[[#This Row],[Payment number]]&lt;&gt;"",ScheduledPayment,"")</f>
        <v/>
      </c>
      <c r="F74"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74"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74" s="33" t="str">
        <f ca="1">IF(PaymentSchedule3[[#This Row],[Payment number]]&lt;&gt;"",PaymentSchedule3[[#This Row],[Total
payment]]-PaymentSchedule3[[#This Row],[Interest]],"")</f>
        <v/>
      </c>
      <c r="I74" s="33" t="str">
        <f ca="1">IF(PaymentSchedule3[[#This Row],[Payment number]]&lt;&gt;"",PaymentSchedule3[[#This Row],[Beginning
balance]]*(InterestRate/PaymentsPerYear),"")</f>
        <v/>
      </c>
      <c r="J74" s="33" t="str">
        <f ca="1">IF(PaymentSchedule3[[#This Row],[Payment number]]&lt;&gt;"",IF(PaymentSchedule3[[#This Row],[Scheduled payment]]+PaymentSchedule3[[#This Row],[Extra
payment]]&lt;=PaymentSchedule3[[#This Row],[Beginning
balance]],PaymentSchedule3[[#This Row],[Beginning
balance]]-PaymentSchedule3[[#This Row],[Principal]],0),"")</f>
        <v/>
      </c>
      <c r="K74" s="33" t="str">
        <f ca="1">IF(PaymentSchedule3[[#This Row],[Payment number]]&lt;&gt;"",SUM(INDEX(PaymentSchedule3[Interest],1,1):PaymentSchedule3[[#This Row],[Interest]]),"")</f>
        <v/>
      </c>
    </row>
    <row r="75" spans="2:11" ht="24" customHeight="1" x14ac:dyDescent="0.3">
      <c r="B75" s="31" t="str">
        <f ca="1">IF(LoanIsGood,IF(ROW()-ROW(PaymentSchedule3[[#Headers],[Payment number]])&gt;ScheduledNumberOfPayments,"",ROW()-ROW(PaymentSchedule3[[#Headers],[Payment number]])),"")</f>
        <v/>
      </c>
      <c r="C75" s="32" t="str">
        <f ca="1">IF(PaymentSchedule3[[#This Row],[Payment number]]&lt;&gt;"",EOMONTH(LoanStartDate,ROW(PaymentSchedule3[[#This Row],[Payment number]])-ROW(PaymentSchedule3[[#Headers],[Payment number]])-2)+DAY(LoanStartDate),"")</f>
        <v/>
      </c>
      <c r="D75" s="33" t="str">
        <f ca="1">IF(PaymentSchedule3[[#This Row],[Payment number]]&lt;&gt;"",IF(ROW()-ROW(PaymentSchedule3[[#Headers],[Beginning
balance]])=1,LoanAmount,INDEX(PaymentSchedule3[Ending
balance],ROW()-ROW(PaymentSchedule3[[#Headers],[Beginning
balance]])-1)),"")</f>
        <v/>
      </c>
      <c r="E75" s="33" t="str">
        <f ca="1">IF(PaymentSchedule3[[#This Row],[Payment number]]&lt;&gt;"",ScheduledPayment,"")</f>
        <v/>
      </c>
      <c r="F75"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75"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75" s="33" t="str">
        <f ca="1">IF(PaymentSchedule3[[#This Row],[Payment number]]&lt;&gt;"",PaymentSchedule3[[#This Row],[Total
payment]]-PaymentSchedule3[[#This Row],[Interest]],"")</f>
        <v/>
      </c>
      <c r="I75" s="33" t="str">
        <f ca="1">IF(PaymentSchedule3[[#This Row],[Payment number]]&lt;&gt;"",PaymentSchedule3[[#This Row],[Beginning
balance]]*(InterestRate/PaymentsPerYear),"")</f>
        <v/>
      </c>
      <c r="J75" s="33" t="str">
        <f ca="1">IF(PaymentSchedule3[[#This Row],[Payment number]]&lt;&gt;"",IF(PaymentSchedule3[[#This Row],[Scheduled payment]]+PaymentSchedule3[[#This Row],[Extra
payment]]&lt;=PaymentSchedule3[[#This Row],[Beginning
balance]],PaymentSchedule3[[#This Row],[Beginning
balance]]-PaymentSchedule3[[#This Row],[Principal]],0),"")</f>
        <v/>
      </c>
      <c r="K75" s="33" t="str">
        <f ca="1">IF(PaymentSchedule3[[#This Row],[Payment number]]&lt;&gt;"",SUM(INDEX(PaymentSchedule3[Interest],1,1):PaymentSchedule3[[#This Row],[Interest]]),"")</f>
        <v/>
      </c>
    </row>
    <row r="76" spans="2:11" ht="24" customHeight="1" x14ac:dyDescent="0.3">
      <c r="B76" s="31" t="str">
        <f ca="1">IF(LoanIsGood,IF(ROW()-ROW(PaymentSchedule3[[#Headers],[Payment number]])&gt;ScheduledNumberOfPayments,"",ROW()-ROW(PaymentSchedule3[[#Headers],[Payment number]])),"")</f>
        <v/>
      </c>
      <c r="C76" s="32" t="str">
        <f ca="1">IF(PaymentSchedule3[[#This Row],[Payment number]]&lt;&gt;"",EOMONTH(LoanStartDate,ROW(PaymentSchedule3[[#This Row],[Payment number]])-ROW(PaymentSchedule3[[#Headers],[Payment number]])-2)+DAY(LoanStartDate),"")</f>
        <v/>
      </c>
      <c r="D76" s="33" t="str">
        <f ca="1">IF(PaymentSchedule3[[#This Row],[Payment number]]&lt;&gt;"",IF(ROW()-ROW(PaymentSchedule3[[#Headers],[Beginning
balance]])=1,LoanAmount,INDEX(PaymentSchedule3[Ending
balance],ROW()-ROW(PaymentSchedule3[[#Headers],[Beginning
balance]])-1)),"")</f>
        <v/>
      </c>
      <c r="E76" s="33" t="str">
        <f ca="1">IF(PaymentSchedule3[[#This Row],[Payment number]]&lt;&gt;"",ScheduledPayment,"")</f>
        <v/>
      </c>
      <c r="F76"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76"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76" s="33" t="str">
        <f ca="1">IF(PaymentSchedule3[[#This Row],[Payment number]]&lt;&gt;"",PaymentSchedule3[[#This Row],[Total
payment]]-PaymentSchedule3[[#This Row],[Interest]],"")</f>
        <v/>
      </c>
      <c r="I76" s="33" t="str">
        <f ca="1">IF(PaymentSchedule3[[#This Row],[Payment number]]&lt;&gt;"",PaymentSchedule3[[#This Row],[Beginning
balance]]*(InterestRate/PaymentsPerYear),"")</f>
        <v/>
      </c>
      <c r="J76" s="33" t="str">
        <f ca="1">IF(PaymentSchedule3[[#This Row],[Payment number]]&lt;&gt;"",IF(PaymentSchedule3[[#This Row],[Scheduled payment]]+PaymentSchedule3[[#This Row],[Extra
payment]]&lt;=PaymentSchedule3[[#This Row],[Beginning
balance]],PaymentSchedule3[[#This Row],[Beginning
balance]]-PaymentSchedule3[[#This Row],[Principal]],0),"")</f>
        <v/>
      </c>
      <c r="K76" s="33" t="str">
        <f ca="1">IF(PaymentSchedule3[[#This Row],[Payment number]]&lt;&gt;"",SUM(INDEX(PaymentSchedule3[Interest],1,1):PaymentSchedule3[[#This Row],[Interest]]),"")</f>
        <v/>
      </c>
    </row>
    <row r="77" spans="2:11" ht="24" customHeight="1" x14ac:dyDescent="0.3">
      <c r="B77" s="31" t="str">
        <f ca="1">IF(LoanIsGood,IF(ROW()-ROW(PaymentSchedule3[[#Headers],[Payment number]])&gt;ScheduledNumberOfPayments,"",ROW()-ROW(PaymentSchedule3[[#Headers],[Payment number]])),"")</f>
        <v/>
      </c>
      <c r="C77" s="32" t="str">
        <f ca="1">IF(PaymentSchedule3[[#This Row],[Payment number]]&lt;&gt;"",EOMONTH(LoanStartDate,ROW(PaymentSchedule3[[#This Row],[Payment number]])-ROW(PaymentSchedule3[[#Headers],[Payment number]])-2)+DAY(LoanStartDate),"")</f>
        <v/>
      </c>
      <c r="D77" s="33" t="str">
        <f ca="1">IF(PaymentSchedule3[[#This Row],[Payment number]]&lt;&gt;"",IF(ROW()-ROW(PaymentSchedule3[[#Headers],[Beginning
balance]])=1,LoanAmount,INDEX(PaymentSchedule3[Ending
balance],ROW()-ROW(PaymentSchedule3[[#Headers],[Beginning
balance]])-1)),"")</f>
        <v/>
      </c>
      <c r="E77" s="33" t="str">
        <f ca="1">IF(PaymentSchedule3[[#This Row],[Payment number]]&lt;&gt;"",ScheduledPayment,"")</f>
        <v/>
      </c>
      <c r="F77"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77"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77" s="33" t="str">
        <f ca="1">IF(PaymentSchedule3[[#This Row],[Payment number]]&lt;&gt;"",PaymentSchedule3[[#This Row],[Total
payment]]-PaymentSchedule3[[#This Row],[Interest]],"")</f>
        <v/>
      </c>
      <c r="I77" s="33" t="str">
        <f ca="1">IF(PaymentSchedule3[[#This Row],[Payment number]]&lt;&gt;"",PaymentSchedule3[[#This Row],[Beginning
balance]]*(InterestRate/PaymentsPerYear),"")</f>
        <v/>
      </c>
      <c r="J77" s="33" t="str">
        <f ca="1">IF(PaymentSchedule3[[#This Row],[Payment number]]&lt;&gt;"",IF(PaymentSchedule3[[#This Row],[Scheduled payment]]+PaymentSchedule3[[#This Row],[Extra
payment]]&lt;=PaymentSchedule3[[#This Row],[Beginning
balance]],PaymentSchedule3[[#This Row],[Beginning
balance]]-PaymentSchedule3[[#This Row],[Principal]],0),"")</f>
        <v/>
      </c>
      <c r="K77" s="33" t="str">
        <f ca="1">IF(PaymentSchedule3[[#This Row],[Payment number]]&lt;&gt;"",SUM(INDEX(PaymentSchedule3[Interest],1,1):PaymentSchedule3[[#This Row],[Interest]]),"")</f>
        <v/>
      </c>
    </row>
    <row r="78" spans="2:11" ht="24" customHeight="1" x14ac:dyDescent="0.3">
      <c r="B78" s="31" t="str">
        <f ca="1">IF(LoanIsGood,IF(ROW()-ROW(PaymentSchedule3[[#Headers],[Payment number]])&gt;ScheduledNumberOfPayments,"",ROW()-ROW(PaymentSchedule3[[#Headers],[Payment number]])),"")</f>
        <v/>
      </c>
      <c r="C78" s="32" t="str">
        <f ca="1">IF(PaymentSchedule3[[#This Row],[Payment number]]&lt;&gt;"",EOMONTH(LoanStartDate,ROW(PaymentSchedule3[[#This Row],[Payment number]])-ROW(PaymentSchedule3[[#Headers],[Payment number]])-2)+DAY(LoanStartDate),"")</f>
        <v/>
      </c>
      <c r="D78" s="33" t="str">
        <f ca="1">IF(PaymentSchedule3[[#This Row],[Payment number]]&lt;&gt;"",IF(ROW()-ROW(PaymentSchedule3[[#Headers],[Beginning
balance]])=1,LoanAmount,INDEX(PaymentSchedule3[Ending
balance],ROW()-ROW(PaymentSchedule3[[#Headers],[Beginning
balance]])-1)),"")</f>
        <v/>
      </c>
      <c r="E78" s="33" t="str">
        <f ca="1">IF(PaymentSchedule3[[#This Row],[Payment number]]&lt;&gt;"",ScheduledPayment,"")</f>
        <v/>
      </c>
      <c r="F78"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78"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78" s="33" t="str">
        <f ca="1">IF(PaymentSchedule3[[#This Row],[Payment number]]&lt;&gt;"",PaymentSchedule3[[#This Row],[Total
payment]]-PaymentSchedule3[[#This Row],[Interest]],"")</f>
        <v/>
      </c>
      <c r="I78" s="33" t="str">
        <f ca="1">IF(PaymentSchedule3[[#This Row],[Payment number]]&lt;&gt;"",PaymentSchedule3[[#This Row],[Beginning
balance]]*(InterestRate/PaymentsPerYear),"")</f>
        <v/>
      </c>
      <c r="J78" s="33" t="str">
        <f ca="1">IF(PaymentSchedule3[[#This Row],[Payment number]]&lt;&gt;"",IF(PaymentSchedule3[[#This Row],[Scheduled payment]]+PaymentSchedule3[[#This Row],[Extra
payment]]&lt;=PaymentSchedule3[[#This Row],[Beginning
balance]],PaymentSchedule3[[#This Row],[Beginning
balance]]-PaymentSchedule3[[#This Row],[Principal]],0),"")</f>
        <v/>
      </c>
      <c r="K78" s="33" t="str">
        <f ca="1">IF(PaymentSchedule3[[#This Row],[Payment number]]&lt;&gt;"",SUM(INDEX(PaymentSchedule3[Interest],1,1):PaymentSchedule3[[#This Row],[Interest]]),"")</f>
        <v/>
      </c>
    </row>
    <row r="79" spans="2:11" ht="24" customHeight="1" x14ac:dyDescent="0.3">
      <c r="B79" s="31" t="str">
        <f ca="1">IF(LoanIsGood,IF(ROW()-ROW(PaymentSchedule3[[#Headers],[Payment number]])&gt;ScheduledNumberOfPayments,"",ROW()-ROW(PaymentSchedule3[[#Headers],[Payment number]])),"")</f>
        <v/>
      </c>
      <c r="C79" s="32" t="str">
        <f ca="1">IF(PaymentSchedule3[[#This Row],[Payment number]]&lt;&gt;"",EOMONTH(LoanStartDate,ROW(PaymentSchedule3[[#This Row],[Payment number]])-ROW(PaymentSchedule3[[#Headers],[Payment number]])-2)+DAY(LoanStartDate),"")</f>
        <v/>
      </c>
      <c r="D79" s="33" t="str">
        <f ca="1">IF(PaymentSchedule3[[#This Row],[Payment number]]&lt;&gt;"",IF(ROW()-ROW(PaymentSchedule3[[#Headers],[Beginning
balance]])=1,LoanAmount,INDEX(PaymentSchedule3[Ending
balance],ROW()-ROW(PaymentSchedule3[[#Headers],[Beginning
balance]])-1)),"")</f>
        <v/>
      </c>
      <c r="E79" s="33" t="str">
        <f ca="1">IF(PaymentSchedule3[[#This Row],[Payment number]]&lt;&gt;"",ScheduledPayment,"")</f>
        <v/>
      </c>
      <c r="F79"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79"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79" s="33" t="str">
        <f ca="1">IF(PaymentSchedule3[[#This Row],[Payment number]]&lt;&gt;"",PaymentSchedule3[[#This Row],[Total
payment]]-PaymentSchedule3[[#This Row],[Interest]],"")</f>
        <v/>
      </c>
      <c r="I79" s="33" t="str">
        <f ca="1">IF(PaymentSchedule3[[#This Row],[Payment number]]&lt;&gt;"",PaymentSchedule3[[#This Row],[Beginning
balance]]*(InterestRate/PaymentsPerYear),"")</f>
        <v/>
      </c>
      <c r="J79" s="33" t="str">
        <f ca="1">IF(PaymentSchedule3[[#This Row],[Payment number]]&lt;&gt;"",IF(PaymentSchedule3[[#This Row],[Scheduled payment]]+PaymentSchedule3[[#This Row],[Extra
payment]]&lt;=PaymentSchedule3[[#This Row],[Beginning
balance]],PaymentSchedule3[[#This Row],[Beginning
balance]]-PaymentSchedule3[[#This Row],[Principal]],0),"")</f>
        <v/>
      </c>
      <c r="K79" s="33" t="str">
        <f ca="1">IF(PaymentSchedule3[[#This Row],[Payment number]]&lt;&gt;"",SUM(INDEX(PaymentSchedule3[Interest],1,1):PaymentSchedule3[[#This Row],[Interest]]),"")</f>
        <v/>
      </c>
    </row>
    <row r="80" spans="2:11" ht="24" customHeight="1" x14ac:dyDescent="0.3">
      <c r="B80" s="31" t="str">
        <f ca="1">IF(LoanIsGood,IF(ROW()-ROW(PaymentSchedule3[[#Headers],[Payment number]])&gt;ScheduledNumberOfPayments,"",ROW()-ROW(PaymentSchedule3[[#Headers],[Payment number]])),"")</f>
        <v/>
      </c>
      <c r="C80" s="32" t="str">
        <f ca="1">IF(PaymentSchedule3[[#This Row],[Payment number]]&lt;&gt;"",EOMONTH(LoanStartDate,ROW(PaymentSchedule3[[#This Row],[Payment number]])-ROW(PaymentSchedule3[[#Headers],[Payment number]])-2)+DAY(LoanStartDate),"")</f>
        <v/>
      </c>
      <c r="D80" s="33" t="str">
        <f ca="1">IF(PaymentSchedule3[[#This Row],[Payment number]]&lt;&gt;"",IF(ROW()-ROW(PaymentSchedule3[[#Headers],[Beginning
balance]])=1,LoanAmount,INDEX(PaymentSchedule3[Ending
balance],ROW()-ROW(PaymentSchedule3[[#Headers],[Beginning
balance]])-1)),"")</f>
        <v/>
      </c>
      <c r="E80" s="33" t="str">
        <f ca="1">IF(PaymentSchedule3[[#This Row],[Payment number]]&lt;&gt;"",ScheduledPayment,"")</f>
        <v/>
      </c>
      <c r="F80"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80"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80" s="33" t="str">
        <f ca="1">IF(PaymentSchedule3[[#This Row],[Payment number]]&lt;&gt;"",PaymentSchedule3[[#This Row],[Total
payment]]-PaymentSchedule3[[#This Row],[Interest]],"")</f>
        <v/>
      </c>
      <c r="I80" s="33" t="str">
        <f ca="1">IF(PaymentSchedule3[[#This Row],[Payment number]]&lt;&gt;"",PaymentSchedule3[[#This Row],[Beginning
balance]]*(InterestRate/PaymentsPerYear),"")</f>
        <v/>
      </c>
      <c r="J80" s="33" t="str">
        <f ca="1">IF(PaymentSchedule3[[#This Row],[Payment number]]&lt;&gt;"",IF(PaymentSchedule3[[#This Row],[Scheduled payment]]+PaymentSchedule3[[#This Row],[Extra
payment]]&lt;=PaymentSchedule3[[#This Row],[Beginning
balance]],PaymentSchedule3[[#This Row],[Beginning
balance]]-PaymentSchedule3[[#This Row],[Principal]],0),"")</f>
        <v/>
      </c>
      <c r="K80" s="33" t="str">
        <f ca="1">IF(PaymentSchedule3[[#This Row],[Payment number]]&lt;&gt;"",SUM(INDEX(PaymentSchedule3[Interest],1,1):PaymentSchedule3[[#This Row],[Interest]]),"")</f>
        <v/>
      </c>
    </row>
    <row r="81" spans="2:11" ht="24" customHeight="1" x14ac:dyDescent="0.3">
      <c r="B81" s="31" t="str">
        <f ca="1">IF(LoanIsGood,IF(ROW()-ROW(PaymentSchedule3[[#Headers],[Payment number]])&gt;ScheduledNumberOfPayments,"",ROW()-ROW(PaymentSchedule3[[#Headers],[Payment number]])),"")</f>
        <v/>
      </c>
      <c r="C81" s="32" t="str">
        <f ca="1">IF(PaymentSchedule3[[#This Row],[Payment number]]&lt;&gt;"",EOMONTH(LoanStartDate,ROW(PaymentSchedule3[[#This Row],[Payment number]])-ROW(PaymentSchedule3[[#Headers],[Payment number]])-2)+DAY(LoanStartDate),"")</f>
        <v/>
      </c>
      <c r="D81" s="33" t="str">
        <f ca="1">IF(PaymentSchedule3[[#This Row],[Payment number]]&lt;&gt;"",IF(ROW()-ROW(PaymentSchedule3[[#Headers],[Beginning
balance]])=1,LoanAmount,INDEX(PaymentSchedule3[Ending
balance],ROW()-ROW(PaymentSchedule3[[#Headers],[Beginning
balance]])-1)),"")</f>
        <v/>
      </c>
      <c r="E81" s="33" t="str">
        <f ca="1">IF(PaymentSchedule3[[#This Row],[Payment number]]&lt;&gt;"",ScheduledPayment,"")</f>
        <v/>
      </c>
      <c r="F81"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81"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81" s="33" t="str">
        <f ca="1">IF(PaymentSchedule3[[#This Row],[Payment number]]&lt;&gt;"",PaymentSchedule3[[#This Row],[Total
payment]]-PaymentSchedule3[[#This Row],[Interest]],"")</f>
        <v/>
      </c>
      <c r="I81" s="33" t="str">
        <f ca="1">IF(PaymentSchedule3[[#This Row],[Payment number]]&lt;&gt;"",PaymentSchedule3[[#This Row],[Beginning
balance]]*(InterestRate/PaymentsPerYear),"")</f>
        <v/>
      </c>
      <c r="J81" s="33" t="str">
        <f ca="1">IF(PaymentSchedule3[[#This Row],[Payment number]]&lt;&gt;"",IF(PaymentSchedule3[[#This Row],[Scheduled payment]]+PaymentSchedule3[[#This Row],[Extra
payment]]&lt;=PaymentSchedule3[[#This Row],[Beginning
balance]],PaymentSchedule3[[#This Row],[Beginning
balance]]-PaymentSchedule3[[#This Row],[Principal]],0),"")</f>
        <v/>
      </c>
      <c r="K81" s="33" t="str">
        <f ca="1">IF(PaymentSchedule3[[#This Row],[Payment number]]&lt;&gt;"",SUM(INDEX(PaymentSchedule3[Interest],1,1):PaymentSchedule3[[#This Row],[Interest]]),"")</f>
        <v/>
      </c>
    </row>
    <row r="82" spans="2:11" ht="24" customHeight="1" x14ac:dyDescent="0.3">
      <c r="B82" s="31" t="str">
        <f ca="1">IF(LoanIsGood,IF(ROW()-ROW(PaymentSchedule3[[#Headers],[Payment number]])&gt;ScheduledNumberOfPayments,"",ROW()-ROW(PaymentSchedule3[[#Headers],[Payment number]])),"")</f>
        <v/>
      </c>
      <c r="C82" s="32" t="str">
        <f ca="1">IF(PaymentSchedule3[[#This Row],[Payment number]]&lt;&gt;"",EOMONTH(LoanStartDate,ROW(PaymentSchedule3[[#This Row],[Payment number]])-ROW(PaymentSchedule3[[#Headers],[Payment number]])-2)+DAY(LoanStartDate),"")</f>
        <v/>
      </c>
      <c r="D82" s="33" t="str">
        <f ca="1">IF(PaymentSchedule3[[#This Row],[Payment number]]&lt;&gt;"",IF(ROW()-ROW(PaymentSchedule3[[#Headers],[Beginning
balance]])=1,LoanAmount,INDEX(PaymentSchedule3[Ending
balance],ROW()-ROW(PaymentSchedule3[[#Headers],[Beginning
balance]])-1)),"")</f>
        <v/>
      </c>
      <c r="E82" s="33" t="str">
        <f ca="1">IF(PaymentSchedule3[[#This Row],[Payment number]]&lt;&gt;"",ScheduledPayment,"")</f>
        <v/>
      </c>
      <c r="F82"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82"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82" s="33" t="str">
        <f ca="1">IF(PaymentSchedule3[[#This Row],[Payment number]]&lt;&gt;"",PaymentSchedule3[[#This Row],[Total
payment]]-PaymentSchedule3[[#This Row],[Interest]],"")</f>
        <v/>
      </c>
      <c r="I82" s="33" t="str">
        <f ca="1">IF(PaymentSchedule3[[#This Row],[Payment number]]&lt;&gt;"",PaymentSchedule3[[#This Row],[Beginning
balance]]*(InterestRate/PaymentsPerYear),"")</f>
        <v/>
      </c>
      <c r="J82" s="33" t="str">
        <f ca="1">IF(PaymentSchedule3[[#This Row],[Payment number]]&lt;&gt;"",IF(PaymentSchedule3[[#This Row],[Scheduled payment]]+PaymentSchedule3[[#This Row],[Extra
payment]]&lt;=PaymentSchedule3[[#This Row],[Beginning
balance]],PaymentSchedule3[[#This Row],[Beginning
balance]]-PaymentSchedule3[[#This Row],[Principal]],0),"")</f>
        <v/>
      </c>
      <c r="K82" s="33" t="str">
        <f ca="1">IF(PaymentSchedule3[[#This Row],[Payment number]]&lt;&gt;"",SUM(INDEX(PaymentSchedule3[Interest],1,1):PaymentSchedule3[[#This Row],[Interest]]),"")</f>
        <v/>
      </c>
    </row>
    <row r="83" spans="2:11" ht="24" customHeight="1" x14ac:dyDescent="0.3">
      <c r="B83" s="31" t="str">
        <f ca="1">IF(LoanIsGood,IF(ROW()-ROW(PaymentSchedule3[[#Headers],[Payment number]])&gt;ScheduledNumberOfPayments,"",ROW()-ROW(PaymentSchedule3[[#Headers],[Payment number]])),"")</f>
        <v/>
      </c>
      <c r="C83" s="32" t="str">
        <f ca="1">IF(PaymentSchedule3[[#This Row],[Payment number]]&lt;&gt;"",EOMONTH(LoanStartDate,ROW(PaymentSchedule3[[#This Row],[Payment number]])-ROW(PaymentSchedule3[[#Headers],[Payment number]])-2)+DAY(LoanStartDate),"")</f>
        <v/>
      </c>
      <c r="D83" s="33" t="str">
        <f ca="1">IF(PaymentSchedule3[[#This Row],[Payment number]]&lt;&gt;"",IF(ROW()-ROW(PaymentSchedule3[[#Headers],[Beginning
balance]])=1,LoanAmount,INDEX(PaymentSchedule3[Ending
balance],ROW()-ROW(PaymentSchedule3[[#Headers],[Beginning
balance]])-1)),"")</f>
        <v/>
      </c>
      <c r="E83" s="33" t="str">
        <f ca="1">IF(PaymentSchedule3[[#This Row],[Payment number]]&lt;&gt;"",ScheduledPayment,"")</f>
        <v/>
      </c>
      <c r="F83"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83"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83" s="33" t="str">
        <f ca="1">IF(PaymentSchedule3[[#This Row],[Payment number]]&lt;&gt;"",PaymentSchedule3[[#This Row],[Total
payment]]-PaymentSchedule3[[#This Row],[Interest]],"")</f>
        <v/>
      </c>
      <c r="I83" s="33" t="str">
        <f ca="1">IF(PaymentSchedule3[[#This Row],[Payment number]]&lt;&gt;"",PaymentSchedule3[[#This Row],[Beginning
balance]]*(InterestRate/PaymentsPerYear),"")</f>
        <v/>
      </c>
      <c r="J83" s="33" t="str">
        <f ca="1">IF(PaymentSchedule3[[#This Row],[Payment number]]&lt;&gt;"",IF(PaymentSchedule3[[#This Row],[Scheduled payment]]+PaymentSchedule3[[#This Row],[Extra
payment]]&lt;=PaymentSchedule3[[#This Row],[Beginning
balance]],PaymentSchedule3[[#This Row],[Beginning
balance]]-PaymentSchedule3[[#This Row],[Principal]],0),"")</f>
        <v/>
      </c>
      <c r="K83" s="33" t="str">
        <f ca="1">IF(PaymentSchedule3[[#This Row],[Payment number]]&lt;&gt;"",SUM(INDEX(PaymentSchedule3[Interest],1,1):PaymentSchedule3[[#This Row],[Interest]]),"")</f>
        <v/>
      </c>
    </row>
    <row r="84" spans="2:11" ht="24" customHeight="1" x14ac:dyDescent="0.3">
      <c r="B84" s="31" t="str">
        <f ca="1">IF(LoanIsGood,IF(ROW()-ROW(PaymentSchedule3[[#Headers],[Payment number]])&gt;ScheduledNumberOfPayments,"",ROW()-ROW(PaymentSchedule3[[#Headers],[Payment number]])),"")</f>
        <v/>
      </c>
      <c r="C84" s="32" t="str">
        <f ca="1">IF(PaymentSchedule3[[#This Row],[Payment number]]&lt;&gt;"",EOMONTH(LoanStartDate,ROW(PaymentSchedule3[[#This Row],[Payment number]])-ROW(PaymentSchedule3[[#Headers],[Payment number]])-2)+DAY(LoanStartDate),"")</f>
        <v/>
      </c>
      <c r="D84" s="33" t="str">
        <f ca="1">IF(PaymentSchedule3[[#This Row],[Payment number]]&lt;&gt;"",IF(ROW()-ROW(PaymentSchedule3[[#Headers],[Beginning
balance]])=1,LoanAmount,INDEX(PaymentSchedule3[Ending
balance],ROW()-ROW(PaymentSchedule3[[#Headers],[Beginning
balance]])-1)),"")</f>
        <v/>
      </c>
      <c r="E84" s="33" t="str">
        <f ca="1">IF(PaymentSchedule3[[#This Row],[Payment number]]&lt;&gt;"",ScheduledPayment,"")</f>
        <v/>
      </c>
      <c r="F84"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84"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84" s="33" t="str">
        <f ca="1">IF(PaymentSchedule3[[#This Row],[Payment number]]&lt;&gt;"",PaymentSchedule3[[#This Row],[Total
payment]]-PaymentSchedule3[[#This Row],[Interest]],"")</f>
        <v/>
      </c>
      <c r="I84" s="33" t="str">
        <f ca="1">IF(PaymentSchedule3[[#This Row],[Payment number]]&lt;&gt;"",PaymentSchedule3[[#This Row],[Beginning
balance]]*(InterestRate/PaymentsPerYear),"")</f>
        <v/>
      </c>
      <c r="J84" s="33" t="str">
        <f ca="1">IF(PaymentSchedule3[[#This Row],[Payment number]]&lt;&gt;"",IF(PaymentSchedule3[[#This Row],[Scheduled payment]]+PaymentSchedule3[[#This Row],[Extra
payment]]&lt;=PaymentSchedule3[[#This Row],[Beginning
balance]],PaymentSchedule3[[#This Row],[Beginning
balance]]-PaymentSchedule3[[#This Row],[Principal]],0),"")</f>
        <v/>
      </c>
      <c r="K84" s="33" t="str">
        <f ca="1">IF(PaymentSchedule3[[#This Row],[Payment number]]&lt;&gt;"",SUM(INDEX(PaymentSchedule3[Interest],1,1):PaymentSchedule3[[#This Row],[Interest]]),"")</f>
        <v/>
      </c>
    </row>
    <row r="85" spans="2:11" ht="24" customHeight="1" x14ac:dyDescent="0.3">
      <c r="B85" s="31" t="str">
        <f ca="1">IF(LoanIsGood,IF(ROW()-ROW(PaymentSchedule3[[#Headers],[Payment number]])&gt;ScheduledNumberOfPayments,"",ROW()-ROW(PaymentSchedule3[[#Headers],[Payment number]])),"")</f>
        <v/>
      </c>
      <c r="C85" s="32" t="str">
        <f ca="1">IF(PaymentSchedule3[[#This Row],[Payment number]]&lt;&gt;"",EOMONTH(LoanStartDate,ROW(PaymentSchedule3[[#This Row],[Payment number]])-ROW(PaymentSchedule3[[#Headers],[Payment number]])-2)+DAY(LoanStartDate),"")</f>
        <v/>
      </c>
      <c r="D85" s="33" t="str">
        <f ca="1">IF(PaymentSchedule3[[#This Row],[Payment number]]&lt;&gt;"",IF(ROW()-ROW(PaymentSchedule3[[#Headers],[Beginning
balance]])=1,LoanAmount,INDEX(PaymentSchedule3[Ending
balance],ROW()-ROW(PaymentSchedule3[[#Headers],[Beginning
balance]])-1)),"")</f>
        <v/>
      </c>
      <c r="E85" s="33" t="str">
        <f ca="1">IF(PaymentSchedule3[[#This Row],[Payment number]]&lt;&gt;"",ScheduledPayment,"")</f>
        <v/>
      </c>
      <c r="F85"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85"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85" s="33" t="str">
        <f ca="1">IF(PaymentSchedule3[[#This Row],[Payment number]]&lt;&gt;"",PaymentSchedule3[[#This Row],[Total
payment]]-PaymentSchedule3[[#This Row],[Interest]],"")</f>
        <v/>
      </c>
      <c r="I85" s="33" t="str">
        <f ca="1">IF(PaymentSchedule3[[#This Row],[Payment number]]&lt;&gt;"",PaymentSchedule3[[#This Row],[Beginning
balance]]*(InterestRate/PaymentsPerYear),"")</f>
        <v/>
      </c>
      <c r="J85" s="33" t="str">
        <f ca="1">IF(PaymentSchedule3[[#This Row],[Payment number]]&lt;&gt;"",IF(PaymentSchedule3[[#This Row],[Scheduled payment]]+PaymentSchedule3[[#This Row],[Extra
payment]]&lt;=PaymentSchedule3[[#This Row],[Beginning
balance]],PaymentSchedule3[[#This Row],[Beginning
balance]]-PaymentSchedule3[[#This Row],[Principal]],0),"")</f>
        <v/>
      </c>
      <c r="K85" s="33" t="str">
        <f ca="1">IF(PaymentSchedule3[[#This Row],[Payment number]]&lt;&gt;"",SUM(INDEX(PaymentSchedule3[Interest],1,1):PaymentSchedule3[[#This Row],[Interest]]),"")</f>
        <v/>
      </c>
    </row>
    <row r="86" spans="2:11" ht="24" customHeight="1" x14ac:dyDescent="0.3">
      <c r="B86" s="31" t="str">
        <f ca="1">IF(LoanIsGood,IF(ROW()-ROW(PaymentSchedule3[[#Headers],[Payment number]])&gt;ScheduledNumberOfPayments,"",ROW()-ROW(PaymentSchedule3[[#Headers],[Payment number]])),"")</f>
        <v/>
      </c>
      <c r="C86" s="32" t="str">
        <f ca="1">IF(PaymentSchedule3[[#This Row],[Payment number]]&lt;&gt;"",EOMONTH(LoanStartDate,ROW(PaymentSchedule3[[#This Row],[Payment number]])-ROW(PaymentSchedule3[[#Headers],[Payment number]])-2)+DAY(LoanStartDate),"")</f>
        <v/>
      </c>
      <c r="D86" s="33" t="str">
        <f ca="1">IF(PaymentSchedule3[[#This Row],[Payment number]]&lt;&gt;"",IF(ROW()-ROW(PaymentSchedule3[[#Headers],[Beginning
balance]])=1,LoanAmount,INDEX(PaymentSchedule3[Ending
balance],ROW()-ROW(PaymentSchedule3[[#Headers],[Beginning
balance]])-1)),"")</f>
        <v/>
      </c>
      <c r="E86" s="33" t="str">
        <f ca="1">IF(PaymentSchedule3[[#This Row],[Payment number]]&lt;&gt;"",ScheduledPayment,"")</f>
        <v/>
      </c>
      <c r="F86"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86"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86" s="33" t="str">
        <f ca="1">IF(PaymentSchedule3[[#This Row],[Payment number]]&lt;&gt;"",PaymentSchedule3[[#This Row],[Total
payment]]-PaymentSchedule3[[#This Row],[Interest]],"")</f>
        <v/>
      </c>
      <c r="I86" s="33" t="str">
        <f ca="1">IF(PaymentSchedule3[[#This Row],[Payment number]]&lt;&gt;"",PaymentSchedule3[[#This Row],[Beginning
balance]]*(InterestRate/PaymentsPerYear),"")</f>
        <v/>
      </c>
      <c r="J86" s="33" t="str">
        <f ca="1">IF(PaymentSchedule3[[#This Row],[Payment number]]&lt;&gt;"",IF(PaymentSchedule3[[#This Row],[Scheduled payment]]+PaymentSchedule3[[#This Row],[Extra
payment]]&lt;=PaymentSchedule3[[#This Row],[Beginning
balance]],PaymentSchedule3[[#This Row],[Beginning
balance]]-PaymentSchedule3[[#This Row],[Principal]],0),"")</f>
        <v/>
      </c>
      <c r="K86" s="33" t="str">
        <f ca="1">IF(PaymentSchedule3[[#This Row],[Payment number]]&lt;&gt;"",SUM(INDEX(PaymentSchedule3[Interest],1,1):PaymentSchedule3[[#This Row],[Interest]]),"")</f>
        <v/>
      </c>
    </row>
    <row r="87" spans="2:11" ht="24" customHeight="1" x14ac:dyDescent="0.3">
      <c r="B87" s="31" t="str">
        <f ca="1">IF(LoanIsGood,IF(ROW()-ROW(PaymentSchedule3[[#Headers],[Payment number]])&gt;ScheduledNumberOfPayments,"",ROW()-ROW(PaymentSchedule3[[#Headers],[Payment number]])),"")</f>
        <v/>
      </c>
      <c r="C87" s="32" t="str">
        <f ca="1">IF(PaymentSchedule3[[#This Row],[Payment number]]&lt;&gt;"",EOMONTH(LoanStartDate,ROW(PaymentSchedule3[[#This Row],[Payment number]])-ROW(PaymentSchedule3[[#Headers],[Payment number]])-2)+DAY(LoanStartDate),"")</f>
        <v/>
      </c>
      <c r="D87" s="33" t="str">
        <f ca="1">IF(PaymentSchedule3[[#This Row],[Payment number]]&lt;&gt;"",IF(ROW()-ROW(PaymentSchedule3[[#Headers],[Beginning
balance]])=1,LoanAmount,INDEX(PaymentSchedule3[Ending
balance],ROW()-ROW(PaymentSchedule3[[#Headers],[Beginning
balance]])-1)),"")</f>
        <v/>
      </c>
      <c r="E87" s="33" t="str">
        <f ca="1">IF(PaymentSchedule3[[#This Row],[Payment number]]&lt;&gt;"",ScheduledPayment,"")</f>
        <v/>
      </c>
      <c r="F87"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87"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87" s="33" t="str">
        <f ca="1">IF(PaymentSchedule3[[#This Row],[Payment number]]&lt;&gt;"",PaymentSchedule3[[#This Row],[Total
payment]]-PaymentSchedule3[[#This Row],[Interest]],"")</f>
        <v/>
      </c>
      <c r="I87" s="33" t="str">
        <f ca="1">IF(PaymentSchedule3[[#This Row],[Payment number]]&lt;&gt;"",PaymentSchedule3[[#This Row],[Beginning
balance]]*(InterestRate/PaymentsPerYear),"")</f>
        <v/>
      </c>
      <c r="J87" s="33" t="str">
        <f ca="1">IF(PaymentSchedule3[[#This Row],[Payment number]]&lt;&gt;"",IF(PaymentSchedule3[[#This Row],[Scheduled payment]]+PaymentSchedule3[[#This Row],[Extra
payment]]&lt;=PaymentSchedule3[[#This Row],[Beginning
balance]],PaymentSchedule3[[#This Row],[Beginning
balance]]-PaymentSchedule3[[#This Row],[Principal]],0),"")</f>
        <v/>
      </c>
      <c r="K87" s="33" t="str">
        <f ca="1">IF(PaymentSchedule3[[#This Row],[Payment number]]&lt;&gt;"",SUM(INDEX(PaymentSchedule3[Interest],1,1):PaymentSchedule3[[#This Row],[Interest]]),"")</f>
        <v/>
      </c>
    </row>
    <row r="88" spans="2:11" ht="24" customHeight="1" x14ac:dyDescent="0.3">
      <c r="B88" s="31" t="str">
        <f ca="1">IF(LoanIsGood,IF(ROW()-ROW(PaymentSchedule3[[#Headers],[Payment number]])&gt;ScheduledNumberOfPayments,"",ROW()-ROW(PaymentSchedule3[[#Headers],[Payment number]])),"")</f>
        <v/>
      </c>
      <c r="C88" s="32" t="str">
        <f ca="1">IF(PaymentSchedule3[[#This Row],[Payment number]]&lt;&gt;"",EOMONTH(LoanStartDate,ROW(PaymentSchedule3[[#This Row],[Payment number]])-ROW(PaymentSchedule3[[#Headers],[Payment number]])-2)+DAY(LoanStartDate),"")</f>
        <v/>
      </c>
      <c r="D88" s="33" t="str">
        <f ca="1">IF(PaymentSchedule3[[#This Row],[Payment number]]&lt;&gt;"",IF(ROW()-ROW(PaymentSchedule3[[#Headers],[Beginning
balance]])=1,LoanAmount,INDEX(PaymentSchedule3[Ending
balance],ROW()-ROW(PaymentSchedule3[[#Headers],[Beginning
balance]])-1)),"")</f>
        <v/>
      </c>
      <c r="E88" s="33" t="str">
        <f ca="1">IF(PaymentSchedule3[[#This Row],[Payment number]]&lt;&gt;"",ScheduledPayment,"")</f>
        <v/>
      </c>
      <c r="F88"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88"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88" s="33" t="str">
        <f ca="1">IF(PaymentSchedule3[[#This Row],[Payment number]]&lt;&gt;"",PaymentSchedule3[[#This Row],[Total
payment]]-PaymentSchedule3[[#This Row],[Interest]],"")</f>
        <v/>
      </c>
      <c r="I88" s="33" t="str">
        <f ca="1">IF(PaymentSchedule3[[#This Row],[Payment number]]&lt;&gt;"",PaymentSchedule3[[#This Row],[Beginning
balance]]*(InterestRate/PaymentsPerYear),"")</f>
        <v/>
      </c>
      <c r="J88" s="33" t="str">
        <f ca="1">IF(PaymentSchedule3[[#This Row],[Payment number]]&lt;&gt;"",IF(PaymentSchedule3[[#This Row],[Scheduled payment]]+PaymentSchedule3[[#This Row],[Extra
payment]]&lt;=PaymentSchedule3[[#This Row],[Beginning
balance]],PaymentSchedule3[[#This Row],[Beginning
balance]]-PaymentSchedule3[[#This Row],[Principal]],0),"")</f>
        <v/>
      </c>
      <c r="K88" s="33" t="str">
        <f ca="1">IF(PaymentSchedule3[[#This Row],[Payment number]]&lt;&gt;"",SUM(INDEX(PaymentSchedule3[Interest],1,1):PaymentSchedule3[[#This Row],[Interest]]),"")</f>
        <v/>
      </c>
    </row>
    <row r="89" spans="2:11" ht="24" customHeight="1" x14ac:dyDescent="0.3">
      <c r="B89" s="31" t="str">
        <f ca="1">IF(LoanIsGood,IF(ROW()-ROW(PaymentSchedule3[[#Headers],[Payment number]])&gt;ScheduledNumberOfPayments,"",ROW()-ROW(PaymentSchedule3[[#Headers],[Payment number]])),"")</f>
        <v/>
      </c>
      <c r="C89" s="32" t="str">
        <f ca="1">IF(PaymentSchedule3[[#This Row],[Payment number]]&lt;&gt;"",EOMONTH(LoanStartDate,ROW(PaymentSchedule3[[#This Row],[Payment number]])-ROW(PaymentSchedule3[[#Headers],[Payment number]])-2)+DAY(LoanStartDate),"")</f>
        <v/>
      </c>
      <c r="D89" s="33" t="str">
        <f ca="1">IF(PaymentSchedule3[[#This Row],[Payment number]]&lt;&gt;"",IF(ROW()-ROW(PaymentSchedule3[[#Headers],[Beginning
balance]])=1,LoanAmount,INDEX(PaymentSchedule3[Ending
balance],ROW()-ROW(PaymentSchedule3[[#Headers],[Beginning
balance]])-1)),"")</f>
        <v/>
      </c>
      <c r="E89" s="33" t="str">
        <f ca="1">IF(PaymentSchedule3[[#This Row],[Payment number]]&lt;&gt;"",ScheduledPayment,"")</f>
        <v/>
      </c>
      <c r="F89"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89"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89" s="33" t="str">
        <f ca="1">IF(PaymentSchedule3[[#This Row],[Payment number]]&lt;&gt;"",PaymentSchedule3[[#This Row],[Total
payment]]-PaymentSchedule3[[#This Row],[Interest]],"")</f>
        <v/>
      </c>
      <c r="I89" s="33" t="str">
        <f ca="1">IF(PaymentSchedule3[[#This Row],[Payment number]]&lt;&gt;"",PaymentSchedule3[[#This Row],[Beginning
balance]]*(InterestRate/PaymentsPerYear),"")</f>
        <v/>
      </c>
      <c r="J89" s="33" t="str">
        <f ca="1">IF(PaymentSchedule3[[#This Row],[Payment number]]&lt;&gt;"",IF(PaymentSchedule3[[#This Row],[Scheduled payment]]+PaymentSchedule3[[#This Row],[Extra
payment]]&lt;=PaymentSchedule3[[#This Row],[Beginning
balance]],PaymentSchedule3[[#This Row],[Beginning
balance]]-PaymentSchedule3[[#This Row],[Principal]],0),"")</f>
        <v/>
      </c>
      <c r="K89" s="33" t="str">
        <f ca="1">IF(PaymentSchedule3[[#This Row],[Payment number]]&lt;&gt;"",SUM(INDEX(PaymentSchedule3[Interest],1,1):PaymentSchedule3[[#This Row],[Interest]]),"")</f>
        <v/>
      </c>
    </row>
    <row r="90" spans="2:11" ht="24" customHeight="1" x14ac:dyDescent="0.3">
      <c r="B90" s="31" t="str">
        <f ca="1">IF(LoanIsGood,IF(ROW()-ROW(PaymentSchedule3[[#Headers],[Payment number]])&gt;ScheduledNumberOfPayments,"",ROW()-ROW(PaymentSchedule3[[#Headers],[Payment number]])),"")</f>
        <v/>
      </c>
      <c r="C90" s="32" t="str">
        <f ca="1">IF(PaymentSchedule3[[#This Row],[Payment number]]&lt;&gt;"",EOMONTH(LoanStartDate,ROW(PaymentSchedule3[[#This Row],[Payment number]])-ROW(PaymentSchedule3[[#Headers],[Payment number]])-2)+DAY(LoanStartDate),"")</f>
        <v/>
      </c>
      <c r="D90" s="33" t="str">
        <f ca="1">IF(PaymentSchedule3[[#This Row],[Payment number]]&lt;&gt;"",IF(ROW()-ROW(PaymentSchedule3[[#Headers],[Beginning
balance]])=1,LoanAmount,INDEX(PaymentSchedule3[Ending
balance],ROW()-ROW(PaymentSchedule3[[#Headers],[Beginning
balance]])-1)),"")</f>
        <v/>
      </c>
      <c r="E90" s="33" t="str">
        <f ca="1">IF(PaymentSchedule3[[#This Row],[Payment number]]&lt;&gt;"",ScheduledPayment,"")</f>
        <v/>
      </c>
      <c r="F90"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90"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90" s="33" t="str">
        <f ca="1">IF(PaymentSchedule3[[#This Row],[Payment number]]&lt;&gt;"",PaymentSchedule3[[#This Row],[Total
payment]]-PaymentSchedule3[[#This Row],[Interest]],"")</f>
        <v/>
      </c>
      <c r="I90" s="33" t="str">
        <f ca="1">IF(PaymentSchedule3[[#This Row],[Payment number]]&lt;&gt;"",PaymentSchedule3[[#This Row],[Beginning
balance]]*(InterestRate/PaymentsPerYear),"")</f>
        <v/>
      </c>
      <c r="J90" s="33" t="str">
        <f ca="1">IF(PaymentSchedule3[[#This Row],[Payment number]]&lt;&gt;"",IF(PaymentSchedule3[[#This Row],[Scheduled payment]]+PaymentSchedule3[[#This Row],[Extra
payment]]&lt;=PaymentSchedule3[[#This Row],[Beginning
balance]],PaymentSchedule3[[#This Row],[Beginning
balance]]-PaymentSchedule3[[#This Row],[Principal]],0),"")</f>
        <v/>
      </c>
      <c r="K90" s="33" t="str">
        <f ca="1">IF(PaymentSchedule3[[#This Row],[Payment number]]&lt;&gt;"",SUM(INDEX(PaymentSchedule3[Interest],1,1):PaymentSchedule3[[#This Row],[Interest]]),"")</f>
        <v/>
      </c>
    </row>
    <row r="91" spans="2:11" ht="24" customHeight="1" x14ac:dyDescent="0.3">
      <c r="B91" s="31" t="str">
        <f ca="1">IF(LoanIsGood,IF(ROW()-ROW(PaymentSchedule3[[#Headers],[Payment number]])&gt;ScheduledNumberOfPayments,"",ROW()-ROW(PaymentSchedule3[[#Headers],[Payment number]])),"")</f>
        <v/>
      </c>
      <c r="C91" s="32" t="str">
        <f ca="1">IF(PaymentSchedule3[[#This Row],[Payment number]]&lt;&gt;"",EOMONTH(LoanStartDate,ROW(PaymentSchedule3[[#This Row],[Payment number]])-ROW(PaymentSchedule3[[#Headers],[Payment number]])-2)+DAY(LoanStartDate),"")</f>
        <v/>
      </c>
      <c r="D91" s="33" t="str">
        <f ca="1">IF(PaymentSchedule3[[#This Row],[Payment number]]&lt;&gt;"",IF(ROW()-ROW(PaymentSchedule3[[#Headers],[Beginning
balance]])=1,LoanAmount,INDEX(PaymentSchedule3[Ending
balance],ROW()-ROW(PaymentSchedule3[[#Headers],[Beginning
balance]])-1)),"")</f>
        <v/>
      </c>
      <c r="E91" s="33" t="str">
        <f ca="1">IF(PaymentSchedule3[[#This Row],[Payment number]]&lt;&gt;"",ScheduledPayment,"")</f>
        <v/>
      </c>
      <c r="F91"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91"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91" s="33" t="str">
        <f ca="1">IF(PaymentSchedule3[[#This Row],[Payment number]]&lt;&gt;"",PaymentSchedule3[[#This Row],[Total
payment]]-PaymentSchedule3[[#This Row],[Interest]],"")</f>
        <v/>
      </c>
      <c r="I91" s="33" t="str">
        <f ca="1">IF(PaymentSchedule3[[#This Row],[Payment number]]&lt;&gt;"",PaymentSchedule3[[#This Row],[Beginning
balance]]*(InterestRate/PaymentsPerYear),"")</f>
        <v/>
      </c>
      <c r="J91" s="33" t="str">
        <f ca="1">IF(PaymentSchedule3[[#This Row],[Payment number]]&lt;&gt;"",IF(PaymentSchedule3[[#This Row],[Scheduled payment]]+PaymentSchedule3[[#This Row],[Extra
payment]]&lt;=PaymentSchedule3[[#This Row],[Beginning
balance]],PaymentSchedule3[[#This Row],[Beginning
balance]]-PaymentSchedule3[[#This Row],[Principal]],0),"")</f>
        <v/>
      </c>
      <c r="K91" s="33" t="str">
        <f ca="1">IF(PaymentSchedule3[[#This Row],[Payment number]]&lt;&gt;"",SUM(INDEX(PaymentSchedule3[Interest],1,1):PaymentSchedule3[[#This Row],[Interest]]),"")</f>
        <v/>
      </c>
    </row>
    <row r="92" spans="2:11" ht="24" customHeight="1" x14ac:dyDescent="0.3">
      <c r="B92" s="31" t="str">
        <f ca="1">IF(LoanIsGood,IF(ROW()-ROW(PaymentSchedule3[[#Headers],[Payment number]])&gt;ScheduledNumberOfPayments,"",ROW()-ROW(PaymentSchedule3[[#Headers],[Payment number]])),"")</f>
        <v/>
      </c>
      <c r="C92" s="32" t="str">
        <f ca="1">IF(PaymentSchedule3[[#This Row],[Payment number]]&lt;&gt;"",EOMONTH(LoanStartDate,ROW(PaymentSchedule3[[#This Row],[Payment number]])-ROW(PaymentSchedule3[[#Headers],[Payment number]])-2)+DAY(LoanStartDate),"")</f>
        <v/>
      </c>
      <c r="D92" s="33" t="str">
        <f ca="1">IF(PaymentSchedule3[[#This Row],[Payment number]]&lt;&gt;"",IF(ROW()-ROW(PaymentSchedule3[[#Headers],[Beginning
balance]])=1,LoanAmount,INDEX(PaymentSchedule3[Ending
balance],ROW()-ROW(PaymentSchedule3[[#Headers],[Beginning
balance]])-1)),"")</f>
        <v/>
      </c>
      <c r="E92" s="33" t="str">
        <f ca="1">IF(PaymentSchedule3[[#This Row],[Payment number]]&lt;&gt;"",ScheduledPayment,"")</f>
        <v/>
      </c>
      <c r="F92"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92"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92" s="33" t="str">
        <f ca="1">IF(PaymentSchedule3[[#This Row],[Payment number]]&lt;&gt;"",PaymentSchedule3[[#This Row],[Total
payment]]-PaymentSchedule3[[#This Row],[Interest]],"")</f>
        <v/>
      </c>
      <c r="I92" s="33" t="str">
        <f ca="1">IF(PaymentSchedule3[[#This Row],[Payment number]]&lt;&gt;"",PaymentSchedule3[[#This Row],[Beginning
balance]]*(InterestRate/PaymentsPerYear),"")</f>
        <v/>
      </c>
      <c r="J92" s="33" t="str">
        <f ca="1">IF(PaymentSchedule3[[#This Row],[Payment number]]&lt;&gt;"",IF(PaymentSchedule3[[#This Row],[Scheduled payment]]+PaymentSchedule3[[#This Row],[Extra
payment]]&lt;=PaymentSchedule3[[#This Row],[Beginning
balance]],PaymentSchedule3[[#This Row],[Beginning
balance]]-PaymentSchedule3[[#This Row],[Principal]],0),"")</f>
        <v/>
      </c>
      <c r="K92" s="33" t="str">
        <f ca="1">IF(PaymentSchedule3[[#This Row],[Payment number]]&lt;&gt;"",SUM(INDEX(PaymentSchedule3[Interest],1,1):PaymentSchedule3[[#This Row],[Interest]]),"")</f>
        <v/>
      </c>
    </row>
    <row r="93" spans="2:11" ht="24" customHeight="1" x14ac:dyDescent="0.3">
      <c r="B93" s="31" t="str">
        <f ca="1">IF(LoanIsGood,IF(ROW()-ROW(PaymentSchedule3[[#Headers],[Payment number]])&gt;ScheduledNumberOfPayments,"",ROW()-ROW(PaymentSchedule3[[#Headers],[Payment number]])),"")</f>
        <v/>
      </c>
      <c r="C93" s="32" t="str">
        <f ca="1">IF(PaymentSchedule3[[#This Row],[Payment number]]&lt;&gt;"",EOMONTH(LoanStartDate,ROW(PaymentSchedule3[[#This Row],[Payment number]])-ROW(PaymentSchedule3[[#Headers],[Payment number]])-2)+DAY(LoanStartDate),"")</f>
        <v/>
      </c>
      <c r="D93" s="33" t="str">
        <f ca="1">IF(PaymentSchedule3[[#This Row],[Payment number]]&lt;&gt;"",IF(ROW()-ROW(PaymentSchedule3[[#Headers],[Beginning
balance]])=1,LoanAmount,INDEX(PaymentSchedule3[Ending
balance],ROW()-ROW(PaymentSchedule3[[#Headers],[Beginning
balance]])-1)),"")</f>
        <v/>
      </c>
      <c r="E93" s="33" t="str">
        <f ca="1">IF(PaymentSchedule3[[#This Row],[Payment number]]&lt;&gt;"",ScheduledPayment,"")</f>
        <v/>
      </c>
      <c r="F93"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93"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93" s="33" t="str">
        <f ca="1">IF(PaymentSchedule3[[#This Row],[Payment number]]&lt;&gt;"",PaymentSchedule3[[#This Row],[Total
payment]]-PaymentSchedule3[[#This Row],[Interest]],"")</f>
        <v/>
      </c>
      <c r="I93" s="33" t="str">
        <f ca="1">IF(PaymentSchedule3[[#This Row],[Payment number]]&lt;&gt;"",PaymentSchedule3[[#This Row],[Beginning
balance]]*(InterestRate/PaymentsPerYear),"")</f>
        <v/>
      </c>
      <c r="J93" s="33" t="str">
        <f ca="1">IF(PaymentSchedule3[[#This Row],[Payment number]]&lt;&gt;"",IF(PaymentSchedule3[[#This Row],[Scheduled payment]]+PaymentSchedule3[[#This Row],[Extra
payment]]&lt;=PaymentSchedule3[[#This Row],[Beginning
balance]],PaymentSchedule3[[#This Row],[Beginning
balance]]-PaymentSchedule3[[#This Row],[Principal]],0),"")</f>
        <v/>
      </c>
      <c r="K93" s="33" t="str">
        <f ca="1">IF(PaymentSchedule3[[#This Row],[Payment number]]&lt;&gt;"",SUM(INDEX(PaymentSchedule3[Interest],1,1):PaymentSchedule3[[#This Row],[Interest]]),"")</f>
        <v/>
      </c>
    </row>
    <row r="94" spans="2:11" ht="24" customHeight="1" x14ac:dyDescent="0.3">
      <c r="B94" s="31" t="str">
        <f ca="1">IF(LoanIsGood,IF(ROW()-ROW(PaymentSchedule3[[#Headers],[Payment number]])&gt;ScheduledNumberOfPayments,"",ROW()-ROW(PaymentSchedule3[[#Headers],[Payment number]])),"")</f>
        <v/>
      </c>
      <c r="C94" s="32" t="str">
        <f ca="1">IF(PaymentSchedule3[[#This Row],[Payment number]]&lt;&gt;"",EOMONTH(LoanStartDate,ROW(PaymentSchedule3[[#This Row],[Payment number]])-ROW(PaymentSchedule3[[#Headers],[Payment number]])-2)+DAY(LoanStartDate),"")</f>
        <v/>
      </c>
      <c r="D94" s="33" t="str">
        <f ca="1">IF(PaymentSchedule3[[#This Row],[Payment number]]&lt;&gt;"",IF(ROW()-ROW(PaymentSchedule3[[#Headers],[Beginning
balance]])=1,LoanAmount,INDEX(PaymentSchedule3[Ending
balance],ROW()-ROW(PaymentSchedule3[[#Headers],[Beginning
balance]])-1)),"")</f>
        <v/>
      </c>
      <c r="E94" s="33" t="str">
        <f ca="1">IF(PaymentSchedule3[[#This Row],[Payment number]]&lt;&gt;"",ScheduledPayment,"")</f>
        <v/>
      </c>
      <c r="F94"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94"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94" s="33" t="str">
        <f ca="1">IF(PaymentSchedule3[[#This Row],[Payment number]]&lt;&gt;"",PaymentSchedule3[[#This Row],[Total
payment]]-PaymentSchedule3[[#This Row],[Interest]],"")</f>
        <v/>
      </c>
      <c r="I94" s="33" t="str">
        <f ca="1">IF(PaymentSchedule3[[#This Row],[Payment number]]&lt;&gt;"",PaymentSchedule3[[#This Row],[Beginning
balance]]*(InterestRate/PaymentsPerYear),"")</f>
        <v/>
      </c>
      <c r="J94" s="33" t="str">
        <f ca="1">IF(PaymentSchedule3[[#This Row],[Payment number]]&lt;&gt;"",IF(PaymentSchedule3[[#This Row],[Scheduled payment]]+PaymentSchedule3[[#This Row],[Extra
payment]]&lt;=PaymentSchedule3[[#This Row],[Beginning
balance]],PaymentSchedule3[[#This Row],[Beginning
balance]]-PaymentSchedule3[[#This Row],[Principal]],0),"")</f>
        <v/>
      </c>
      <c r="K94" s="33" t="str">
        <f ca="1">IF(PaymentSchedule3[[#This Row],[Payment number]]&lt;&gt;"",SUM(INDEX(PaymentSchedule3[Interest],1,1):PaymentSchedule3[[#This Row],[Interest]]),"")</f>
        <v/>
      </c>
    </row>
    <row r="95" spans="2:11" ht="24" customHeight="1" x14ac:dyDescent="0.3">
      <c r="B95" s="31" t="str">
        <f ca="1">IF(LoanIsGood,IF(ROW()-ROW(PaymentSchedule3[[#Headers],[Payment number]])&gt;ScheduledNumberOfPayments,"",ROW()-ROW(PaymentSchedule3[[#Headers],[Payment number]])),"")</f>
        <v/>
      </c>
      <c r="C95" s="32" t="str">
        <f ca="1">IF(PaymentSchedule3[[#This Row],[Payment number]]&lt;&gt;"",EOMONTH(LoanStartDate,ROW(PaymentSchedule3[[#This Row],[Payment number]])-ROW(PaymentSchedule3[[#Headers],[Payment number]])-2)+DAY(LoanStartDate),"")</f>
        <v/>
      </c>
      <c r="D95" s="33" t="str">
        <f ca="1">IF(PaymentSchedule3[[#This Row],[Payment number]]&lt;&gt;"",IF(ROW()-ROW(PaymentSchedule3[[#Headers],[Beginning
balance]])=1,LoanAmount,INDEX(PaymentSchedule3[Ending
balance],ROW()-ROW(PaymentSchedule3[[#Headers],[Beginning
balance]])-1)),"")</f>
        <v/>
      </c>
      <c r="E95" s="33" t="str">
        <f ca="1">IF(PaymentSchedule3[[#This Row],[Payment number]]&lt;&gt;"",ScheduledPayment,"")</f>
        <v/>
      </c>
      <c r="F95"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95"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95" s="33" t="str">
        <f ca="1">IF(PaymentSchedule3[[#This Row],[Payment number]]&lt;&gt;"",PaymentSchedule3[[#This Row],[Total
payment]]-PaymentSchedule3[[#This Row],[Interest]],"")</f>
        <v/>
      </c>
      <c r="I95" s="33" t="str">
        <f ca="1">IF(PaymentSchedule3[[#This Row],[Payment number]]&lt;&gt;"",PaymentSchedule3[[#This Row],[Beginning
balance]]*(InterestRate/PaymentsPerYear),"")</f>
        <v/>
      </c>
      <c r="J95" s="33" t="str">
        <f ca="1">IF(PaymentSchedule3[[#This Row],[Payment number]]&lt;&gt;"",IF(PaymentSchedule3[[#This Row],[Scheduled payment]]+PaymentSchedule3[[#This Row],[Extra
payment]]&lt;=PaymentSchedule3[[#This Row],[Beginning
balance]],PaymentSchedule3[[#This Row],[Beginning
balance]]-PaymentSchedule3[[#This Row],[Principal]],0),"")</f>
        <v/>
      </c>
      <c r="K95" s="33" t="str">
        <f ca="1">IF(PaymentSchedule3[[#This Row],[Payment number]]&lt;&gt;"",SUM(INDEX(PaymentSchedule3[Interest],1,1):PaymentSchedule3[[#This Row],[Interest]]),"")</f>
        <v/>
      </c>
    </row>
    <row r="96" spans="2:11" ht="24" customHeight="1" x14ac:dyDescent="0.3">
      <c r="B96" s="31" t="str">
        <f ca="1">IF(LoanIsGood,IF(ROW()-ROW(PaymentSchedule3[[#Headers],[Payment number]])&gt;ScheduledNumberOfPayments,"",ROW()-ROW(PaymentSchedule3[[#Headers],[Payment number]])),"")</f>
        <v/>
      </c>
      <c r="C96" s="32" t="str">
        <f ca="1">IF(PaymentSchedule3[[#This Row],[Payment number]]&lt;&gt;"",EOMONTH(LoanStartDate,ROW(PaymentSchedule3[[#This Row],[Payment number]])-ROW(PaymentSchedule3[[#Headers],[Payment number]])-2)+DAY(LoanStartDate),"")</f>
        <v/>
      </c>
      <c r="D96" s="33" t="str">
        <f ca="1">IF(PaymentSchedule3[[#This Row],[Payment number]]&lt;&gt;"",IF(ROW()-ROW(PaymentSchedule3[[#Headers],[Beginning
balance]])=1,LoanAmount,INDEX(PaymentSchedule3[Ending
balance],ROW()-ROW(PaymentSchedule3[[#Headers],[Beginning
balance]])-1)),"")</f>
        <v/>
      </c>
      <c r="E96" s="33" t="str">
        <f ca="1">IF(PaymentSchedule3[[#This Row],[Payment number]]&lt;&gt;"",ScheduledPayment,"")</f>
        <v/>
      </c>
      <c r="F96"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96"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96" s="33" t="str">
        <f ca="1">IF(PaymentSchedule3[[#This Row],[Payment number]]&lt;&gt;"",PaymentSchedule3[[#This Row],[Total
payment]]-PaymentSchedule3[[#This Row],[Interest]],"")</f>
        <v/>
      </c>
      <c r="I96" s="33" t="str">
        <f ca="1">IF(PaymentSchedule3[[#This Row],[Payment number]]&lt;&gt;"",PaymentSchedule3[[#This Row],[Beginning
balance]]*(InterestRate/PaymentsPerYear),"")</f>
        <v/>
      </c>
      <c r="J96" s="33" t="str">
        <f ca="1">IF(PaymentSchedule3[[#This Row],[Payment number]]&lt;&gt;"",IF(PaymentSchedule3[[#This Row],[Scheduled payment]]+PaymentSchedule3[[#This Row],[Extra
payment]]&lt;=PaymentSchedule3[[#This Row],[Beginning
balance]],PaymentSchedule3[[#This Row],[Beginning
balance]]-PaymentSchedule3[[#This Row],[Principal]],0),"")</f>
        <v/>
      </c>
      <c r="K96" s="33" t="str">
        <f ca="1">IF(PaymentSchedule3[[#This Row],[Payment number]]&lt;&gt;"",SUM(INDEX(PaymentSchedule3[Interest],1,1):PaymentSchedule3[[#This Row],[Interest]]),"")</f>
        <v/>
      </c>
    </row>
    <row r="97" spans="2:11" ht="24" customHeight="1" x14ac:dyDescent="0.3">
      <c r="B97" s="31" t="str">
        <f ca="1">IF(LoanIsGood,IF(ROW()-ROW(PaymentSchedule3[[#Headers],[Payment number]])&gt;ScheduledNumberOfPayments,"",ROW()-ROW(PaymentSchedule3[[#Headers],[Payment number]])),"")</f>
        <v/>
      </c>
      <c r="C97" s="32" t="str">
        <f ca="1">IF(PaymentSchedule3[[#This Row],[Payment number]]&lt;&gt;"",EOMONTH(LoanStartDate,ROW(PaymentSchedule3[[#This Row],[Payment number]])-ROW(PaymentSchedule3[[#Headers],[Payment number]])-2)+DAY(LoanStartDate),"")</f>
        <v/>
      </c>
      <c r="D97" s="33" t="str">
        <f ca="1">IF(PaymentSchedule3[[#This Row],[Payment number]]&lt;&gt;"",IF(ROW()-ROW(PaymentSchedule3[[#Headers],[Beginning
balance]])=1,LoanAmount,INDEX(PaymentSchedule3[Ending
balance],ROW()-ROW(PaymentSchedule3[[#Headers],[Beginning
balance]])-1)),"")</f>
        <v/>
      </c>
      <c r="E97" s="33" t="str">
        <f ca="1">IF(PaymentSchedule3[[#This Row],[Payment number]]&lt;&gt;"",ScheduledPayment,"")</f>
        <v/>
      </c>
      <c r="F97"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97"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97" s="33" t="str">
        <f ca="1">IF(PaymentSchedule3[[#This Row],[Payment number]]&lt;&gt;"",PaymentSchedule3[[#This Row],[Total
payment]]-PaymentSchedule3[[#This Row],[Interest]],"")</f>
        <v/>
      </c>
      <c r="I97" s="33" t="str">
        <f ca="1">IF(PaymentSchedule3[[#This Row],[Payment number]]&lt;&gt;"",PaymentSchedule3[[#This Row],[Beginning
balance]]*(InterestRate/PaymentsPerYear),"")</f>
        <v/>
      </c>
      <c r="J97" s="33" t="str">
        <f ca="1">IF(PaymentSchedule3[[#This Row],[Payment number]]&lt;&gt;"",IF(PaymentSchedule3[[#This Row],[Scheduled payment]]+PaymentSchedule3[[#This Row],[Extra
payment]]&lt;=PaymentSchedule3[[#This Row],[Beginning
balance]],PaymentSchedule3[[#This Row],[Beginning
balance]]-PaymentSchedule3[[#This Row],[Principal]],0),"")</f>
        <v/>
      </c>
      <c r="K97" s="33" t="str">
        <f ca="1">IF(PaymentSchedule3[[#This Row],[Payment number]]&lt;&gt;"",SUM(INDEX(PaymentSchedule3[Interest],1,1):PaymentSchedule3[[#This Row],[Interest]]),"")</f>
        <v/>
      </c>
    </row>
    <row r="98" spans="2:11" ht="24" customHeight="1" x14ac:dyDescent="0.3">
      <c r="B98" s="31" t="str">
        <f ca="1">IF(LoanIsGood,IF(ROW()-ROW(PaymentSchedule3[[#Headers],[Payment number]])&gt;ScheduledNumberOfPayments,"",ROW()-ROW(PaymentSchedule3[[#Headers],[Payment number]])),"")</f>
        <v/>
      </c>
      <c r="C98" s="32" t="str">
        <f ca="1">IF(PaymentSchedule3[[#This Row],[Payment number]]&lt;&gt;"",EOMONTH(LoanStartDate,ROW(PaymentSchedule3[[#This Row],[Payment number]])-ROW(PaymentSchedule3[[#Headers],[Payment number]])-2)+DAY(LoanStartDate),"")</f>
        <v/>
      </c>
      <c r="D98" s="33" t="str">
        <f ca="1">IF(PaymentSchedule3[[#This Row],[Payment number]]&lt;&gt;"",IF(ROW()-ROW(PaymentSchedule3[[#Headers],[Beginning
balance]])=1,LoanAmount,INDEX(PaymentSchedule3[Ending
balance],ROW()-ROW(PaymentSchedule3[[#Headers],[Beginning
balance]])-1)),"")</f>
        <v/>
      </c>
      <c r="E98" s="33" t="str">
        <f ca="1">IF(PaymentSchedule3[[#This Row],[Payment number]]&lt;&gt;"",ScheduledPayment,"")</f>
        <v/>
      </c>
      <c r="F98"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98"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98" s="33" t="str">
        <f ca="1">IF(PaymentSchedule3[[#This Row],[Payment number]]&lt;&gt;"",PaymentSchedule3[[#This Row],[Total
payment]]-PaymentSchedule3[[#This Row],[Interest]],"")</f>
        <v/>
      </c>
      <c r="I98" s="33" t="str">
        <f ca="1">IF(PaymentSchedule3[[#This Row],[Payment number]]&lt;&gt;"",PaymentSchedule3[[#This Row],[Beginning
balance]]*(InterestRate/PaymentsPerYear),"")</f>
        <v/>
      </c>
      <c r="J98" s="33" t="str">
        <f ca="1">IF(PaymentSchedule3[[#This Row],[Payment number]]&lt;&gt;"",IF(PaymentSchedule3[[#This Row],[Scheduled payment]]+PaymentSchedule3[[#This Row],[Extra
payment]]&lt;=PaymentSchedule3[[#This Row],[Beginning
balance]],PaymentSchedule3[[#This Row],[Beginning
balance]]-PaymentSchedule3[[#This Row],[Principal]],0),"")</f>
        <v/>
      </c>
      <c r="K98" s="33" t="str">
        <f ca="1">IF(PaymentSchedule3[[#This Row],[Payment number]]&lt;&gt;"",SUM(INDEX(PaymentSchedule3[Interest],1,1):PaymentSchedule3[[#This Row],[Interest]]),"")</f>
        <v/>
      </c>
    </row>
    <row r="99" spans="2:11" ht="24" customHeight="1" x14ac:dyDescent="0.3">
      <c r="B99" s="31" t="str">
        <f ca="1">IF(LoanIsGood,IF(ROW()-ROW(PaymentSchedule3[[#Headers],[Payment number]])&gt;ScheduledNumberOfPayments,"",ROW()-ROW(PaymentSchedule3[[#Headers],[Payment number]])),"")</f>
        <v/>
      </c>
      <c r="C99" s="32" t="str">
        <f ca="1">IF(PaymentSchedule3[[#This Row],[Payment number]]&lt;&gt;"",EOMONTH(LoanStartDate,ROW(PaymentSchedule3[[#This Row],[Payment number]])-ROW(PaymentSchedule3[[#Headers],[Payment number]])-2)+DAY(LoanStartDate),"")</f>
        <v/>
      </c>
      <c r="D99" s="33" t="str">
        <f ca="1">IF(PaymentSchedule3[[#This Row],[Payment number]]&lt;&gt;"",IF(ROW()-ROW(PaymentSchedule3[[#Headers],[Beginning
balance]])=1,LoanAmount,INDEX(PaymentSchedule3[Ending
balance],ROW()-ROW(PaymentSchedule3[[#Headers],[Beginning
balance]])-1)),"")</f>
        <v/>
      </c>
      <c r="E99" s="33" t="str">
        <f ca="1">IF(PaymentSchedule3[[#This Row],[Payment number]]&lt;&gt;"",ScheduledPayment,"")</f>
        <v/>
      </c>
      <c r="F99"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99"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99" s="33" t="str">
        <f ca="1">IF(PaymentSchedule3[[#This Row],[Payment number]]&lt;&gt;"",PaymentSchedule3[[#This Row],[Total
payment]]-PaymentSchedule3[[#This Row],[Interest]],"")</f>
        <v/>
      </c>
      <c r="I99" s="33" t="str">
        <f ca="1">IF(PaymentSchedule3[[#This Row],[Payment number]]&lt;&gt;"",PaymentSchedule3[[#This Row],[Beginning
balance]]*(InterestRate/PaymentsPerYear),"")</f>
        <v/>
      </c>
      <c r="J99" s="33" t="str">
        <f ca="1">IF(PaymentSchedule3[[#This Row],[Payment number]]&lt;&gt;"",IF(PaymentSchedule3[[#This Row],[Scheduled payment]]+PaymentSchedule3[[#This Row],[Extra
payment]]&lt;=PaymentSchedule3[[#This Row],[Beginning
balance]],PaymentSchedule3[[#This Row],[Beginning
balance]]-PaymentSchedule3[[#This Row],[Principal]],0),"")</f>
        <v/>
      </c>
      <c r="K99" s="33" t="str">
        <f ca="1">IF(PaymentSchedule3[[#This Row],[Payment number]]&lt;&gt;"",SUM(INDEX(PaymentSchedule3[Interest],1,1):PaymentSchedule3[[#This Row],[Interest]]),"")</f>
        <v/>
      </c>
    </row>
    <row r="100" spans="2:11" ht="24" customHeight="1" x14ac:dyDescent="0.3">
      <c r="B100" s="31" t="str">
        <f ca="1">IF(LoanIsGood,IF(ROW()-ROW(PaymentSchedule3[[#Headers],[Payment number]])&gt;ScheduledNumberOfPayments,"",ROW()-ROW(PaymentSchedule3[[#Headers],[Payment number]])),"")</f>
        <v/>
      </c>
      <c r="C100" s="32" t="str">
        <f ca="1">IF(PaymentSchedule3[[#This Row],[Payment number]]&lt;&gt;"",EOMONTH(LoanStartDate,ROW(PaymentSchedule3[[#This Row],[Payment number]])-ROW(PaymentSchedule3[[#Headers],[Payment number]])-2)+DAY(LoanStartDate),"")</f>
        <v/>
      </c>
      <c r="D100" s="33" t="str">
        <f ca="1">IF(PaymentSchedule3[[#This Row],[Payment number]]&lt;&gt;"",IF(ROW()-ROW(PaymentSchedule3[[#Headers],[Beginning
balance]])=1,LoanAmount,INDEX(PaymentSchedule3[Ending
balance],ROW()-ROW(PaymentSchedule3[[#Headers],[Beginning
balance]])-1)),"")</f>
        <v/>
      </c>
      <c r="E100" s="33" t="str">
        <f ca="1">IF(PaymentSchedule3[[#This Row],[Payment number]]&lt;&gt;"",ScheduledPayment,"")</f>
        <v/>
      </c>
      <c r="F100" s="33" t="str">
        <f ca="1">IF(PaymentSchedule3[[#This Row],[Payment number]]&lt;&gt;"",IF(PaymentSchedule3[[#This Row],[Scheduled payment]]+ExtraPayments&lt;PaymentSchedule3[[#This Row],[Beginning
balance]],ExtraPayments,IF(PaymentSchedule3[[#This Row],[Beginning
balance]]-PaymentSchedule3[[#This Row],[Scheduled payment]]&gt;0,PaymentSchedule3[[#This Row],[Beginning
balance]]-PaymentSchedule3[[#This Row],[Scheduled payment]],0)),"")</f>
        <v/>
      </c>
      <c r="G100" s="33" t="str">
        <f ca="1">IF(PaymentSchedule3[[#This Row],[Payment number]]&lt;&gt;"",IF(PaymentSchedule3[[#This Row],[Scheduled payment]]+PaymentSchedule3[[#This Row],[Extra
payment]]&lt;=PaymentSchedule3[[#This Row],[Beginning
balance]],PaymentSchedule3[[#This Row],[Scheduled payment]]+PaymentSchedule3[[#This Row],[Extra
payment]],PaymentSchedule3[[#This Row],[Beginning
balance]]),"")</f>
        <v/>
      </c>
      <c r="H100" s="33" t="str">
        <f ca="1">IF(PaymentSchedule3[[#This Row],[Payment number]]&lt;&gt;"",PaymentSchedule3[[#This Row],[Total
payment]]-PaymentSchedule3[[#This Row],[Interest]],"")</f>
        <v/>
      </c>
      <c r="I100" s="33" t="str">
        <f ca="1">IF(PaymentSchedule3[[#This Row],[Payment number]]&lt;&gt;"",PaymentSchedule3[[#This Row],[Beginning
balance]]*(InterestRate/PaymentsPerYear),"")</f>
        <v/>
      </c>
      <c r="J100" s="33" t="str">
        <f ca="1">IF(PaymentSchedule3[[#This Row],[Payment number]]&lt;&gt;"",IF(PaymentSchedule3[[#This Row],[Scheduled payment]]+PaymentSchedule3[[#This Row],[Extra
payment]]&lt;=PaymentSchedule3[[#This Row],[Beginning
balance]],PaymentSchedule3[[#This Row],[Beginning
balance]]-PaymentSchedule3[[#This Row],[Principal]],0),"")</f>
        <v/>
      </c>
      <c r="K100" s="33" t="str">
        <f ca="1">IF(PaymentSchedule3[[#This Row],[Payment number]]&lt;&gt;"",SUM(INDEX(PaymentSchedule3[Interest],1,1):PaymentSchedule3[[#This Row],[Interest]]),"")</f>
        <v/>
      </c>
    </row>
  </sheetData>
  <mergeCells count="9">
    <mergeCell ref="I5:K5"/>
    <mergeCell ref="I6:K6"/>
    <mergeCell ref="I7:K7"/>
    <mergeCell ref="I8:K8"/>
    <mergeCell ref="B11:D11"/>
    <mergeCell ref="I9:K9"/>
    <mergeCell ref="I10:K10"/>
    <mergeCell ref="G11:H11"/>
    <mergeCell ref="I11:K11"/>
  </mergeCells>
  <conditionalFormatting sqref="B14:K100">
    <cfRule type="expression" dxfId="0" priority="1">
      <formula>($B14="")+(($D14=0)*($F14=0))</formula>
    </cfRule>
  </conditionalFormatting>
  <dataValidations count="25">
    <dataValidation allowBlank="1" showInputMessage="1" showErrorMessage="1" prompt="Cumulative interest is automatically updated in this column" sqref="K13" xr:uid="{39FCF65A-8BF2-4A41-956A-9264E8590921}"/>
    <dataValidation allowBlank="1" showInputMessage="1" showErrorMessage="1" prompt="Ending balance is automatically updated in this column" sqref="J13" xr:uid="{9E9FE9EC-8AAF-4F4C-8DD9-0DD4E618C907}"/>
    <dataValidation allowBlank="1" showInputMessage="1" showErrorMessage="1" prompt="Interest is automatically updated in this column" sqref="I13" xr:uid="{46B3C13B-2AD3-488F-B3D3-CDE3BD29EE21}"/>
    <dataValidation allowBlank="1" showInputMessage="1" showErrorMessage="1" prompt="Principal is automatically updated in this column" sqref="H13" xr:uid="{06FC0B54-F6BE-4962-88AF-58C6CF8BFA28}"/>
    <dataValidation allowBlank="1" showInputMessage="1" showErrorMessage="1" prompt="Total payment is automatically updated in this column" sqref="G13" xr:uid="{879F7196-49CB-4D6D-AF3E-A97252EA5D0E}"/>
    <dataValidation allowBlank="1" showInputMessage="1" showErrorMessage="1" prompt="Extra payment is automatically updated in this column" sqref="F13" xr:uid="{9319C4EA-8B01-41B2-8CEC-4840852D26BD}"/>
    <dataValidation allowBlank="1" showInputMessage="1" showErrorMessage="1" prompt="Scheduled payment is automatically updated in this column" sqref="E13" xr:uid="{AC827F85-C60C-4034-B766-81C176B18CAB}"/>
    <dataValidation allowBlank="1" showInputMessage="1" showErrorMessage="1" prompt="Beginning balance is automatically updated in this column" sqref="D13" xr:uid="{2E0465BF-3149-4770-AEF5-578C39256318}"/>
    <dataValidation allowBlank="1" showInputMessage="1" showErrorMessage="1" prompt="Payment date is automatically updated in this column" sqref="C13" xr:uid="{325B9C27-C801-4377-A9FF-2E51A0980179}"/>
    <dataValidation allowBlank="1" showInputMessage="1" showErrorMessage="1" prompt="Payment number is automatically updated in this column" sqref="B13" xr:uid="{7CD0DAF3-B8F5-4728-9D9A-857ACB918E70}"/>
    <dataValidation allowBlank="1" showInputMessage="1" showErrorMessage="1" prompt="Automatically updated total early payments" sqref="I8" xr:uid="{3883319A-5381-4298-8BB5-27FAE8093B26}"/>
    <dataValidation allowBlank="1" showInputMessage="1" showErrorMessage="1" prompt="Automatically updated actual number of payments" sqref="I7" xr:uid="{600C4CB5-0E5A-4CEE-BC4A-375DABB3F52A}"/>
    <dataValidation allowBlank="1" showInputMessage="1" showErrorMessage="1" prompt="Automatically updated scheduled number of payments" sqref="I6" xr:uid="{9388C63A-AFBA-4C17-AB2F-0D309F8CB992}"/>
    <dataValidation allowBlank="1" showInputMessage="1" showErrorMessage="1" prompt="Automatically updated scheduled payment amount" sqref="I5" xr:uid="{F2DD4887-845B-455E-BAEB-57AC02B59F2F}"/>
    <dataValidation allowBlank="1" showInputMessage="1" showErrorMessage="1" prompt="Automatically calculated total interest" sqref="I9" xr:uid="{B6A179D9-4B93-4C7C-810A-F12B7FC8EE4B}"/>
    <dataValidation allowBlank="1" showInputMessage="1" showErrorMessage="1" prompt="Enter the amount of extra payment in this cell" sqref="E11" xr:uid="{E7BD987D-D7CA-4DBA-99CC-298791804D75}"/>
    <dataValidation allowBlank="1" showInputMessage="1" showErrorMessage="1" prompt="Enter the start date of loan in this cell" sqref="E9" xr:uid="{FC353A50-0E99-4F96-BF86-15FD00A62E5B}"/>
    <dataValidation allowBlank="1" showInputMessage="1" showErrorMessage="1" prompt="Enter the number of payments to be made in a year in this cell" sqref="E8" xr:uid="{6080DD76-3A8E-4C1B-8CE2-553DA61F4240}"/>
    <dataValidation allowBlank="1" showInputMessage="1" showErrorMessage="1" prompt="Enter loan period in years in this cell" sqref="E7" xr:uid="{0397BDA9-9E78-4890-A6B2-28C2D9B7E9A3}"/>
    <dataValidation allowBlank="1" showInputMessage="1" showErrorMessage="1" prompt="Enter interest rate to be paid annually in this cell" sqref="E6" xr:uid="{D4A44E56-2418-495E-9BCA-5BCFE5E96E74}"/>
    <dataValidation allowBlank="1" showInputMessage="1" showErrorMessage="1" prompt="Enter Loan Amount in this cell" sqref="E5" xr:uid="{A8FD2C6B-0619-4385-9C1B-BB9E89167B95}"/>
    <dataValidation allowBlank="1" showInputMessage="1" showErrorMessage="1" prompt="Worksheet title is in this cell. _x000a__x000a_Enter loan values in cells E5 to E9 &amp; extra payments in cell E11.  Enter loan summary values in cells I5 to K9, with lender name in cell I11.  _x000a__x000a_The Payment Schedule table will automatically update." sqref="C2" xr:uid="{3A360FA2-AC80-4D4C-A182-5949DE831937}"/>
    <dataValidation allowBlank="1" showInputMessage="1" showErrorMessage="1" prompt="This workbook produces a loan amortization schedule that calculates total interest and total payments &amp; includes the option for extra payments._x000a__x000a_Go to cell C2 for additional information about this template._x000a_" sqref="A1" xr:uid="{57860951-A0B7-4EFC-AB61-94C0CE82DCA7}"/>
    <dataValidation allowBlank="1" showInputMessage="1" showErrorMessage="1" prompt="Enter loan values in cells E5 to E9, and the extra payment in cell E11. Description of each loan value is in column E. Payment Schedule table starting in cell G4 will automatically update." sqref="B4" xr:uid="{2FD12715-0647-4D3F-BB88-EB7F855973B1}"/>
    <dataValidation allowBlank="1" showInputMessage="1" showErrorMessage="1" prompt="Loan Summary fields from I5 to I9 are automatically adjusted based on the values entered in cells E5 to E9. Enter the Lender's name in I11._x000a__x000a_Description of each value can be found in column I." sqref="G4" xr:uid="{E66544D4-4148-4B97-A686-62F3E8BA6D42}"/>
  </dataValidations>
  <printOptions horizontalCentered="1"/>
  <pageMargins left="0.4" right="0.4" top="0.4" bottom="0.5" header="0.3" footer="0.3"/>
  <pageSetup scale="79" fitToHeight="0" orientation="landscape" r:id="rId1"/>
  <headerFooter differentFirst="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C40911F-E40D-4E5A-8F79-A8CF2D0ECC7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D81D207-CE89-42AF-92BD-9D5ABAF8490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CC9DC247-DA4C-48CA-8D72-4AC806AFE8E9}">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TM03986974</Template>
  <Application>Microsoft Excel</Application>
  <DocSecurity>0</DocSecurity>
  <ScaleCrop>false</ScaleCrop>
  <HeadingPairs>
    <vt:vector size="4" baseType="variant">
      <vt:variant>
        <vt:lpstr>Worksheets</vt:lpstr>
      </vt:variant>
      <vt:variant>
        <vt:i4>1</vt:i4>
      </vt:variant>
      <vt:variant>
        <vt:lpstr>Named Ranges</vt:lpstr>
      </vt:variant>
      <vt:variant>
        <vt:i4>16</vt:i4>
      </vt:variant>
    </vt:vector>
  </HeadingPairs>
  <TitlesOfParts>
    <vt:vector size="17" baseType="lpstr">
      <vt:lpstr>Loan schedule</vt:lpstr>
      <vt:lpstr>'Loan schedule'!ColumnTitle1</vt:lpstr>
      <vt:lpstr>'Loan schedule'!End_Bal</vt:lpstr>
      <vt:lpstr>'Loan schedule'!ExtraPayments</vt:lpstr>
      <vt:lpstr>'Loan schedule'!InterestRate</vt:lpstr>
      <vt:lpstr>'Loan schedule'!LenderName</vt:lpstr>
      <vt:lpstr>'Loan schedule'!LoanAmount</vt:lpstr>
      <vt:lpstr>'Loan schedule'!LoanPeriod</vt:lpstr>
      <vt:lpstr>'Loan schedule'!LoanStartDate</vt:lpstr>
      <vt:lpstr>'Loan schedule'!PaymentsPerYear</vt:lpstr>
      <vt:lpstr>'Loan schedule'!Print_Titles</vt:lpstr>
      <vt:lpstr>'Loan schedule'!RowTitleRegion1..E9</vt:lpstr>
      <vt:lpstr>'Loan schedule'!RowTitleRegion2..I7</vt:lpstr>
      <vt:lpstr>'Loan schedule'!RowTitleRegion3..E9</vt:lpstr>
      <vt:lpstr>'Loan schedule'!RowTitleRegion4..H9</vt:lpstr>
      <vt:lpstr>'Loan schedule'!ScheduledNumberOfPayments</vt:lpstr>
      <vt:lpstr>'Loan schedule'!ScheduledPayment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2023-11-29T13:58:14Z</dcterms:created>
  <dcterms:modified xsi:type="dcterms:W3CDTF">2026-02-13T08:46:11Z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